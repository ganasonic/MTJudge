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as\Dropbox\Programs\iOS\MTJudge2026c\"/>
    </mc:Choice>
  </mc:AlternateContent>
  <xr:revisionPtr revIDLastSave="0" documentId="13_ncr:1_{30E242E2-0B27-48B1-A743-31FEB2AEF1FF}" xr6:coauthVersionLast="47" xr6:coauthVersionMax="47" xr10:uidLastSave="{00000000-0000-0000-0000-000000000000}"/>
  <bookViews>
    <workbookView xWindow="-110" yWindow="-110" windowWidth="25820" windowHeight="16220" activeTab="1" xr2:uid="{94338469-3407-4D39-9174-4ABA7197FFA6}"/>
  </bookViews>
  <sheets>
    <sheet name="Sheet1" sheetId="1" r:id="rId1"/>
    <sheet name="Sheet2" sheetId="2" r:id="rId2"/>
    <sheet name="ﾓｰｸﾞﾙ難度" sheetId="3" r:id="rId3"/>
  </sheets>
  <externalReferences>
    <externalReference r:id="rId4"/>
    <externalReference r:id="rId5"/>
    <externalReference r:id="rId6"/>
  </externalReferences>
  <definedNames>
    <definedName name="_Order1" hidden="1">255</definedName>
    <definedName name="baratsuki">#REF!</definedName>
    <definedName name="CLENGTH" localSheetId="2">#REF!</definedName>
    <definedName name="CLENGTH">#REF!</definedName>
    <definedName name="CLENGTH2">#REF!</definedName>
    <definedName name="dr">[2]ドロー!$A$7:$M$155</definedName>
    <definedName name="FBASE" localSheetId="2">#REF!</definedName>
    <definedName name="FBASE">#REF!</definedName>
    <definedName name="FBASE2">#REF!</definedName>
    <definedName name="FPSTIME" localSheetId="2">#REF!</definedName>
    <definedName name="FPSTIME">#REF!</definedName>
    <definedName name="FPSTIME2">#REF!</definedName>
    <definedName name="M">[3]男!$B$3:$J$662</definedName>
    <definedName name="MBASE" localSheetId="2">#REF!</definedName>
    <definedName name="MBASE">#REF!</definedName>
    <definedName name="MBASE2">#REF!</definedName>
    <definedName name="MPSTIME" localSheetId="2">#REF!</definedName>
    <definedName name="MPSTIME">#REF!</definedName>
    <definedName name="MPSTIME2">#REF!</definedName>
    <definedName name="_xlnm.Print_Area" localSheetId="2">ﾓｰｸﾞﾙ難度!$A$2:$F$17</definedName>
    <definedName name="S">#REF!</definedName>
    <definedName name="W">[3]女!$B$4:$J$171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2" l="1"/>
  <c r="E21" i="2"/>
  <c r="E20" i="2"/>
  <c r="E19" i="2"/>
  <c r="E18" i="2"/>
  <c r="E17" i="2"/>
  <c r="E16" i="2"/>
  <c r="E15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14" i="2"/>
  <c r="E13" i="2"/>
  <c r="E12" i="2"/>
  <c r="E11" i="2"/>
  <c r="E10" i="2"/>
  <c r="E9" i="2"/>
  <c r="E54" i="2"/>
  <c r="E53" i="2"/>
  <c r="E55" i="2"/>
  <c r="E8" i="2"/>
  <c r="E7" i="2"/>
  <c r="E6" i="2"/>
  <c r="E50" i="2"/>
  <c r="E49" i="2"/>
  <c r="E51" i="2"/>
  <c r="E5" i="2"/>
  <c r="E4" i="2"/>
  <c r="E3" i="2"/>
  <c r="E2" i="2"/>
  <c r="E45" i="2"/>
  <c r="E44" i="2"/>
  <c r="E47" i="2"/>
  <c r="E46" i="2"/>
  <c r="E52" i="2"/>
  <c r="E48" i="2"/>
  <c r="E43" i="2"/>
  <c r="E42" i="2" l="1"/>
  <c r="E1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O7" i="1" l="1"/>
  <c r="M2" i="1"/>
  <c r="L2" i="1"/>
  <c r="L38" i="1"/>
  <c r="L18" i="1"/>
  <c r="M45" i="1"/>
  <c r="L45" i="1"/>
  <c r="M44" i="1"/>
  <c r="L44" i="1"/>
  <c r="M43" i="1"/>
  <c r="L43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2" i="1"/>
  <c r="L42" i="1"/>
  <c r="M41" i="1"/>
  <c r="L41" i="1"/>
  <c r="M39" i="1"/>
  <c r="L39" i="1"/>
  <c r="M38" i="1"/>
  <c r="M40" i="1"/>
  <c r="L40" i="1"/>
  <c r="M37" i="1"/>
  <c r="L37" i="1"/>
  <c r="M36" i="1"/>
  <c r="L36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O28" i="1" s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O20" i="1" s="1"/>
  <c r="M19" i="1"/>
  <c r="L19" i="1"/>
  <c r="M18" i="1"/>
  <c r="M17" i="1"/>
  <c r="L17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6" i="1"/>
  <c r="L6" i="1"/>
  <c r="M5" i="1"/>
  <c r="L5" i="1"/>
  <c r="M4" i="1"/>
  <c r="L4" i="1"/>
  <c r="M3" i="1"/>
  <c r="L3" i="1"/>
  <c r="O36" i="1" l="1"/>
  <c r="O6" i="1"/>
  <c r="O11" i="1"/>
  <c r="O2" i="1"/>
  <c r="O5" i="1"/>
  <c r="O15" i="1"/>
  <c r="O10" i="1"/>
  <c r="O22" i="1"/>
  <c r="O26" i="1"/>
  <c r="O30" i="1"/>
  <c r="O34" i="1"/>
  <c r="O14" i="1"/>
  <c r="O45" i="1"/>
  <c r="O42" i="1"/>
  <c r="O49" i="1"/>
  <c r="O53" i="1"/>
  <c r="O4" i="1"/>
  <c r="O9" i="1"/>
  <c r="O13" i="1"/>
  <c r="O44" i="1"/>
  <c r="O193" i="1"/>
  <c r="O38" i="1"/>
  <c r="O3" i="1"/>
  <c r="O8" i="1"/>
  <c r="O69" i="1"/>
  <c r="O81" i="1"/>
  <c r="O93" i="1"/>
  <c r="O101" i="1"/>
  <c r="O113" i="1"/>
  <c r="O117" i="1"/>
  <c r="O121" i="1"/>
  <c r="O125" i="1"/>
  <c r="O129" i="1"/>
  <c r="O133" i="1"/>
  <c r="O137" i="1"/>
  <c r="O141" i="1"/>
  <c r="O145" i="1"/>
  <c r="O149" i="1"/>
  <c r="O153" i="1"/>
  <c r="O157" i="1"/>
  <c r="O161" i="1"/>
  <c r="O165" i="1"/>
  <c r="O169" i="1"/>
  <c r="O173" i="1"/>
  <c r="O177" i="1"/>
  <c r="O181" i="1"/>
  <c r="O185" i="1"/>
  <c r="O189" i="1"/>
  <c r="O57" i="1"/>
  <c r="O65" i="1"/>
  <c r="O77" i="1"/>
  <c r="O89" i="1"/>
  <c r="O109" i="1"/>
  <c r="O61" i="1"/>
  <c r="O73" i="1"/>
  <c r="O85" i="1"/>
  <c r="O97" i="1"/>
  <c r="O105" i="1"/>
  <c r="O46" i="1"/>
  <c r="O50" i="1"/>
  <c r="O54" i="1"/>
  <c r="O58" i="1"/>
  <c r="O62" i="1"/>
  <c r="O66" i="1"/>
  <c r="O70" i="1"/>
  <c r="O74" i="1"/>
  <c r="O78" i="1"/>
  <c r="O82" i="1"/>
  <c r="O86" i="1"/>
  <c r="O90" i="1"/>
  <c r="O94" i="1"/>
  <c r="O98" i="1"/>
  <c r="O102" i="1"/>
  <c r="O106" i="1"/>
  <c r="O110" i="1"/>
  <c r="O114" i="1"/>
  <c r="O118" i="1"/>
  <c r="O122" i="1"/>
  <c r="O126" i="1"/>
  <c r="O130" i="1"/>
  <c r="O134" i="1"/>
  <c r="O138" i="1"/>
  <c r="O142" i="1"/>
  <c r="O146" i="1"/>
  <c r="O150" i="1"/>
  <c r="O154" i="1"/>
  <c r="O158" i="1"/>
  <c r="O162" i="1"/>
  <c r="O166" i="1"/>
  <c r="O170" i="1"/>
  <c r="O174" i="1"/>
  <c r="O178" i="1"/>
  <c r="O182" i="1"/>
  <c r="O186" i="1"/>
  <c r="O190" i="1"/>
  <c r="O194" i="1"/>
  <c r="O68" i="1"/>
  <c r="O41" i="1"/>
  <c r="O48" i="1"/>
  <c r="O52" i="1"/>
  <c r="O56" i="1"/>
  <c r="O60" i="1"/>
  <c r="O64" i="1"/>
  <c r="O72" i="1"/>
  <c r="O76" i="1"/>
  <c r="O80" i="1"/>
  <c r="O84" i="1"/>
  <c r="O88" i="1"/>
  <c r="O92" i="1"/>
  <c r="O96" i="1"/>
  <c r="O100" i="1"/>
  <c r="O104" i="1"/>
  <c r="O108" i="1"/>
  <c r="O112" i="1"/>
  <c r="O116" i="1"/>
  <c r="O120" i="1"/>
  <c r="O124" i="1"/>
  <c r="O128" i="1"/>
  <c r="O136" i="1"/>
  <c r="O140" i="1"/>
  <c r="O144" i="1"/>
  <c r="O148" i="1"/>
  <c r="O152" i="1"/>
  <c r="O156" i="1"/>
  <c r="O160" i="1"/>
  <c r="O164" i="1"/>
  <c r="O168" i="1"/>
  <c r="O172" i="1"/>
  <c r="O176" i="1"/>
  <c r="O180" i="1"/>
  <c r="O184" i="1"/>
  <c r="O188" i="1"/>
  <c r="O192" i="1"/>
  <c r="O196" i="1"/>
  <c r="O132" i="1"/>
  <c r="O19" i="1"/>
  <c r="O23" i="1"/>
  <c r="O27" i="1"/>
  <c r="O31" i="1"/>
  <c r="O18" i="1"/>
  <c r="O24" i="1"/>
  <c r="O32" i="1"/>
  <c r="O37" i="1"/>
  <c r="O43" i="1"/>
  <c r="O21" i="1"/>
  <c r="O25" i="1"/>
  <c r="O29" i="1"/>
  <c r="O33" i="1"/>
  <c r="O40" i="1"/>
  <c r="O12" i="1"/>
  <c r="O17" i="1"/>
  <c r="O39" i="1"/>
  <c r="O47" i="1"/>
  <c r="O51" i="1"/>
  <c r="O55" i="1"/>
  <c r="O59" i="1"/>
  <c r="O63" i="1"/>
  <c r="O67" i="1"/>
  <c r="O71" i="1"/>
  <c r="O75" i="1"/>
  <c r="O79" i="1"/>
  <c r="O83" i="1"/>
  <c r="O87" i="1"/>
  <c r="O91" i="1"/>
  <c r="O95" i="1"/>
  <c r="O99" i="1"/>
  <c r="O103" i="1"/>
  <c r="O107" i="1"/>
  <c r="O111" i="1"/>
  <c r="O115" i="1"/>
  <c r="O119" i="1"/>
  <c r="O123" i="1"/>
  <c r="O127" i="1"/>
  <c r="O131" i="1"/>
  <c r="O135" i="1"/>
  <c r="O139" i="1"/>
  <c r="O143" i="1"/>
  <c r="O147" i="1"/>
  <c r="O151" i="1"/>
  <c r="O155" i="1"/>
  <c r="O159" i="1"/>
  <c r="O163" i="1"/>
  <c r="O167" i="1"/>
  <c r="O171" i="1"/>
  <c r="O175" i="1"/>
  <c r="O179" i="1"/>
  <c r="O183" i="1"/>
  <c r="O187" i="1"/>
  <c r="O191" i="1"/>
  <c r="O195" i="1"/>
</calcChain>
</file>

<file path=xl/sharedStrings.xml><?xml version="1.0" encoding="utf-8"?>
<sst xmlns="http://schemas.openxmlformats.org/spreadsheetml/2006/main" count="1118" uniqueCount="267">
  <si>
    <t>-</t>
  </si>
  <si>
    <t>3p</t>
  </si>
  <si>
    <t>3G</t>
  </si>
  <si>
    <t>3o</t>
  </si>
  <si>
    <t>3oG</t>
  </si>
  <si>
    <t>7p</t>
  </si>
  <si>
    <t>7G</t>
  </si>
  <si>
    <t>7o</t>
  </si>
  <si>
    <t>7oG</t>
  </si>
  <si>
    <t>7op</t>
  </si>
  <si>
    <t>10p</t>
  </si>
  <si>
    <t>10G</t>
  </si>
  <si>
    <t>10o</t>
  </si>
  <si>
    <t>10oG</t>
  </si>
  <si>
    <t>10op</t>
  </si>
  <si>
    <t>14o</t>
  </si>
  <si>
    <t>14op</t>
  </si>
  <si>
    <t>14oG</t>
  </si>
  <si>
    <t>bT</t>
  </si>
  <si>
    <t>bL</t>
  </si>
  <si>
    <t>bp</t>
  </si>
  <si>
    <t>bP</t>
  </si>
  <si>
    <t>bG</t>
  </si>
  <si>
    <t>bF</t>
  </si>
  <si>
    <t>bdF</t>
  </si>
  <si>
    <t>btF</t>
  </si>
  <si>
    <t>fT</t>
  </si>
  <si>
    <t>fP</t>
  </si>
  <si>
    <t>fp</t>
  </si>
  <si>
    <t>fG</t>
  </si>
  <si>
    <t>fF</t>
  </si>
  <si>
    <t>l</t>
  </si>
  <si>
    <t>lp</t>
  </si>
  <si>
    <t>lG</t>
  </si>
  <si>
    <t>lF</t>
  </si>
  <si>
    <t>lpF</t>
  </si>
  <si>
    <t>lGF</t>
  </si>
  <si>
    <t>D</t>
  </si>
  <si>
    <t>DD</t>
  </si>
  <si>
    <t>DDD</t>
  </si>
  <si>
    <t>DDDG</t>
  </si>
  <si>
    <t>DDG</t>
  </si>
  <si>
    <t>DDS</t>
  </si>
  <si>
    <t>DDT</t>
  </si>
  <si>
    <t>DDTS</t>
  </si>
  <si>
    <t>DDTT</t>
  </si>
  <si>
    <t>DDTTS</t>
  </si>
  <si>
    <t>DG</t>
  </si>
  <si>
    <t>DK</t>
  </si>
  <si>
    <t>DKG</t>
  </si>
  <si>
    <t>DS</t>
  </si>
  <si>
    <t>DSG</t>
  </si>
  <si>
    <t>DT</t>
  </si>
  <si>
    <t>DTG</t>
  </si>
  <si>
    <t>DTS</t>
  </si>
  <si>
    <t>DTSG</t>
  </si>
  <si>
    <t>DTT</t>
  </si>
  <si>
    <t>DTTG</t>
  </si>
  <si>
    <t>DTTS</t>
  </si>
  <si>
    <t>DTTSG</t>
  </si>
  <si>
    <t>DXS</t>
  </si>
  <si>
    <t>DXSG</t>
  </si>
  <si>
    <t>K</t>
  </si>
  <si>
    <t>KD</t>
  </si>
  <si>
    <t>KDD</t>
  </si>
  <si>
    <t>KM</t>
  </si>
  <si>
    <t>KMG</t>
  </si>
  <si>
    <t>KT</t>
  </si>
  <si>
    <t>KTT</t>
  </si>
  <si>
    <t>KX</t>
  </si>
  <si>
    <t>KXG</t>
  </si>
  <si>
    <t>KY</t>
  </si>
  <si>
    <t>KYG</t>
  </si>
  <si>
    <t>M</t>
  </si>
  <si>
    <t>MG</t>
  </si>
  <si>
    <t>MS</t>
  </si>
  <si>
    <t>MSG</t>
  </si>
  <si>
    <t>S</t>
  </si>
  <si>
    <t>SD</t>
  </si>
  <si>
    <t>SDG</t>
  </si>
  <si>
    <t>SG</t>
  </si>
  <si>
    <t>SM</t>
  </si>
  <si>
    <t>SS</t>
  </si>
  <si>
    <t>SSG</t>
  </si>
  <si>
    <t>SSS</t>
  </si>
  <si>
    <t>SSSG</t>
  </si>
  <si>
    <t>ST</t>
  </si>
  <si>
    <t>STG</t>
  </si>
  <si>
    <t>STK</t>
  </si>
  <si>
    <t>STKG</t>
  </si>
  <si>
    <t>STS</t>
  </si>
  <si>
    <t>STSG</t>
  </si>
  <si>
    <t>STT</t>
  </si>
  <si>
    <t>STTG</t>
  </si>
  <si>
    <t>STTK</t>
  </si>
  <si>
    <t>STTKG</t>
  </si>
  <si>
    <t>STTS</t>
  </si>
  <si>
    <t>STTSG</t>
  </si>
  <si>
    <t>STTX</t>
  </si>
  <si>
    <t>STTXG</t>
  </si>
  <si>
    <t>STTY</t>
  </si>
  <si>
    <t>STTYG</t>
  </si>
  <si>
    <t>STX</t>
  </si>
  <si>
    <t>STXG</t>
  </si>
  <si>
    <t>STY</t>
  </si>
  <si>
    <t>STYG</t>
  </si>
  <si>
    <t>SX</t>
  </si>
  <si>
    <t>SXG</t>
  </si>
  <si>
    <t>SXS</t>
  </si>
  <si>
    <t>SXSG</t>
  </si>
  <si>
    <t>SXSXS</t>
  </si>
  <si>
    <t>SY</t>
  </si>
  <si>
    <t>SYG</t>
  </si>
  <si>
    <t>SYS</t>
  </si>
  <si>
    <t>SYSG</t>
  </si>
  <si>
    <t>SZ</t>
  </si>
  <si>
    <t>SZG</t>
  </si>
  <si>
    <t>T</t>
  </si>
  <si>
    <t>TD</t>
  </si>
  <si>
    <t>TDG</t>
  </si>
  <si>
    <t>TG</t>
  </si>
  <si>
    <t>TK</t>
  </si>
  <si>
    <t>TKG</t>
  </si>
  <si>
    <t>TM</t>
  </si>
  <si>
    <t>TMG</t>
  </si>
  <si>
    <t>TS</t>
  </si>
  <si>
    <t>TSG</t>
  </si>
  <si>
    <t>TSS</t>
  </si>
  <si>
    <t>TSSG</t>
  </si>
  <si>
    <t>TST</t>
  </si>
  <si>
    <t>TSTG</t>
  </si>
  <si>
    <t>TSTS</t>
  </si>
  <si>
    <t>TSTSG</t>
  </si>
  <si>
    <t>TT</t>
  </si>
  <si>
    <t>TTD</t>
  </si>
  <si>
    <t>TTDD</t>
  </si>
  <si>
    <t>TTDDG</t>
  </si>
  <si>
    <t>TTG</t>
  </si>
  <si>
    <t>TTK</t>
  </si>
  <si>
    <t>TTKG</t>
  </si>
  <si>
    <t>TTS</t>
  </si>
  <si>
    <t>TTSG</t>
  </si>
  <si>
    <t>TTT</t>
  </si>
  <si>
    <t>TTTG</t>
  </si>
  <si>
    <t>TTTS</t>
  </si>
  <si>
    <t>TTTSG</t>
  </si>
  <si>
    <t>TTTT</t>
  </si>
  <si>
    <t>TTTTG</t>
  </si>
  <si>
    <t>TTTTS</t>
  </si>
  <si>
    <t>TTTTT</t>
  </si>
  <si>
    <t>TTTTTG</t>
  </si>
  <si>
    <t>X</t>
  </si>
  <si>
    <t>XG</t>
  </si>
  <si>
    <t>XK</t>
  </si>
  <si>
    <t>XKG</t>
  </si>
  <si>
    <t>XKX</t>
  </si>
  <si>
    <t>XKXG</t>
  </si>
  <si>
    <t>XS</t>
  </si>
  <si>
    <t>XSG</t>
  </si>
  <si>
    <t>XSX</t>
  </si>
  <si>
    <t>XSXG</t>
  </si>
  <si>
    <t>XTT</t>
  </si>
  <si>
    <t>XTTG</t>
  </si>
  <si>
    <t>XTTS</t>
  </si>
  <si>
    <t>XTTSG</t>
  </si>
  <si>
    <t>XTTT</t>
  </si>
  <si>
    <t>XTTTG</t>
  </si>
  <si>
    <t>XTTX</t>
  </si>
  <si>
    <t>Y</t>
  </si>
  <si>
    <t>YG</t>
  </si>
  <si>
    <t>YK</t>
  </si>
  <si>
    <t>YKG</t>
  </si>
  <si>
    <t>YKX</t>
  </si>
  <si>
    <t>YKXG</t>
  </si>
  <si>
    <t>YS</t>
  </si>
  <si>
    <t>YSG</t>
  </si>
  <si>
    <t>YT</t>
  </si>
  <si>
    <t>YTG</t>
  </si>
  <si>
    <t>YTS</t>
  </si>
  <si>
    <t>YTSG</t>
  </si>
  <si>
    <t>YTTS</t>
  </si>
  <si>
    <t>YTTSG</t>
  </si>
  <si>
    <t>YXS</t>
  </si>
  <si>
    <t>YXSG</t>
  </si>
  <si>
    <t>Z</t>
  </si>
  <si>
    <t>ZG</t>
  </si>
  <si>
    <t>ZSG</t>
  </si>
  <si>
    <t>bFG</t>
  </si>
  <si>
    <t>bFp</t>
  </si>
  <si>
    <t>bLp</t>
  </si>
  <si>
    <t>bPG</t>
  </si>
  <si>
    <t>bPp</t>
  </si>
  <si>
    <t>bPpG</t>
  </si>
  <si>
    <t>fdF</t>
  </si>
  <si>
    <t>fL</t>
  </si>
  <si>
    <t>fpG</t>
  </si>
  <si>
    <t>fPG</t>
  </si>
  <si>
    <t>fPpG</t>
  </si>
  <si>
    <t>fTG</t>
  </si>
  <si>
    <t>fTp</t>
  </si>
  <si>
    <t>3op</t>
  </si>
  <si>
    <t>7opG</t>
  </si>
  <si>
    <t>7oPG</t>
  </si>
  <si>
    <t>7oppg</t>
  </si>
  <si>
    <t>10opG</t>
  </si>
  <si>
    <t>lFP</t>
  </si>
  <si>
    <t>lL</t>
  </si>
  <si>
    <t>lP</t>
  </si>
  <si>
    <t>lpG</t>
  </si>
  <si>
    <t>lPG</t>
  </si>
  <si>
    <t>lT</t>
  </si>
  <si>
    <t>3pG</t>
  </si>
  <si>
    <t>3pp</t>
  </si>
  <si>
    <t>3ppp</t>
  </si>
  <si>
    <t>3w</t>
  </si>
  <si>
    <t>3ww</t>
  </si>
  <si>
    <t>7pG</t>
  </si>
  <si>
    <t>7pp</t>
  </si>
  <si>
    <t>7ppp</t>
  </si>
  <si>
    <t>7w</t>
  </si>
  <si>
    <t>7ww</t>
  </si>
  <si>
    <t>DLD</t>
  </si>
  <si>
    <t>10pG</t>
  </si>
  <si>
    <t>10pp</t>
  </si>
  <si>
    <t>10ppG</t>
  </si>
  <si>
    <t>3</t>
    <phoneticPr fontId="3"/>
  </si>
  <si>
    <t>7</t>
    <phoneticPr fontId="3"/>
  </si>
  <si>
    <t>10</t>
    <phoneticPr fontId="3"/>
  </si>
  <si>
    <t>3op</t>
    <phoneticPr fontId="3"/>
  </si>
  <si>
    <r>
      <rPr>
        <sz val="10"/>
        <color rgb="FFFF0000"/>
        <rFont val="ＭＳ Ｐゴシック"/>
        <family val="3"/>
        <charset val="128"/>
      </rPr>
      <t>fG</t>
    </r>
  </si>
  <si>
    <r>
      <rPr>
        <sz val="10"/>
        <color rgb="FFFF0000"/>
        <rFont val="ＭＳ Ｐゴシック"/>
        <family val="3"/>
        <charset val="128"/>
      </rPr>
      <t>lG</t>
    </r>
  </si>
  <si>
    <t>ZSG</t>
    <phoneticPr fontId="3"/>
  </si>
  <si>
    <t>確認済</t>
    <rPh sb="0" eb="3">
      <t>カクニンスミ</t>
    </rPh>
    <phoneticPr fontId="3"/>
  </si>
  <si>
    <t>3pp</t>
    <phoneticPr fontId="3"/>
  </si>
  <si>
    <t>3g</t>
    <phoneticPr fontId="3"/>
  </si>
  <si>
    <t>(B) 0.68+ (g) 1x0.05 = 0.73</t>
  </si>
  <si>
    <t>(B) 0.68+ (G) 1x0.12 = 0.8</t>
  </si>
  <si>
    <t>3o</t>
    <phoneticPr fontId="3"/>
  </si>
  <si>
    <t>(B) 0.68 = 0.68</t>
  </si>
  <si>
    <t>3og</t>
    <phoneticPr fontId="3"/>
  </si>
  <si>
    <t>7g</t>
    <phoneticPr fontId="3"/>
  </si>
  <si>
    <t>(B) 0.68+ (r) 1x0.17 + (g) 1x0.05 + (Gfac) 1x0.02 = 0.92</t>
  </si>
  <si>
    <t>(B) 0.68+ (r) 1x0.17 + (G) 1x0.12 + (Gfac) 1x0.02 = 0.99</t>
  </si>
  <si>
    <t>7og</t>
    <phoneticPr fontId="3"/>
  </si>
  <si>
    <t>10g</t>
    <phoneticPr fontId="3"/>
  </si>
  <si>
    <t>(B) 0.68+ (r) 2x0.17 + (g) 1x0.05 + (Gfac) 1x0.02 = 1.09</t>
  </si>
  <si>
    <t>(B) 0.68+ (r) 2x0.17 + (G) 1x0.12 + (Gfac) 2x0.02 = 1.18</t>
  </si>
  <si>
    <t>10og</t>
    <phoneticPr fontId="3"/>
  </si>
  <si>
    <t>(B) 0.68+ (r) 2x0.17 + (g) 1x0.05 + (Gfac) 2x0.02 = 1.11</t>
  </si>
  <si>
    <t>14og</t>
    <phoneticPr fontId="3"/>
  </si>
  <si>
    <t>(B) 0.68+ (r) 3x0.17 + (g) 1x0.05 + (Gfac) 3x0.02 = 1.3</t>
  </si>
  <si>
    <t>(B) 0.68+ (r) 3x0.17 + (G) 1x0.12 + (Gfac) 3x0.02 = 1.37</t>
  </si>
  <si>
    <t>bpp</t>
    <phoneticPr fontId="3"/>
  </si>
  <si>
    <t>bppp</t>
    <phoneticPr fontId="3"/>
  </si>
  <si>
    <t>bg</t>
    <phoneticPr fontId="3"/>
  </si>
  <si>
    <t>(B) 0.68+ (ir) 1x0.19 + (L) 1x0.03 = 0.9</t>
  </si>
  <si>
    <t>(B) 0.68+ (ir) 2x0.19 + (L) 1x0.03 = 1.09</t>
  </si>
  <si>
    <t>(B) 0.68+ (ir) 3x0.19 + (L) 1x0.03 = 1.28</t>
  </si>
  <si>
    <t>fg</t>
    <phoneticPr fontId="3"/>
  </si>
  <si>
    <t>fdF</t>
    <phoneticPr fontId="3"/>
  </si>
  <si>
    <t>ftF</t>
    <phoneticPr fontId="3"/>
  </si>
  <si>
    <t>lg</t>
    <phoneticPr fontId="3"/>
  </si>
  <si>
    <t>lgF</t>
    <phoneticPr fontId="3"/>
  </si>
  <si>
    <t xml:space="preserve">                                                                                                </t>
  </si>
  <si>
    <t>%</t>
    <phoneticPr fontId="3"/>
  </si>
  <si>
    <t>SAJ</t>
    <phoneticPr fontId="3"/>
  </si>
  <si>
    <t xml:space="preserve"> 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</si>
</sst>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0.000_);[Red]\(0.000\)"/>
    <numFmt numFmtId="178" formatCode="0.000_ "/>
    <numFmt numFmtId="179" formatCode="0.00_);[Red]\(0.00\)"/>
    <numFmt numFmtId="180" formatCode="###,000;###,000"/>
  </numFmts>
  <fonts count="9" x14ac:knownFonts="1">
    <font>
      <sz val="10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0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Arial"/>
      <family val="2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ck">
        <color rgb="FFFF0000"/>
      </left>
      <right style="thin">
        <color rgb="FFCCCCCC"/>
      </right>
      <top style="thin">
        <color rgb="FFFFFFFF"/>
      </top>
      <bottom style="thin">
        <color rgb="FFCCCCCC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rgb="FFCCCCCC"/>
      </left>
      <right style="thin">
        <color rgb="FFCCCCCC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FFFFFF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/>
  </cellStyleXfs>
  <cellXfs count="5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176" fontId="0" fillId="3" borderId="0" xfId="0" applyNumberFormat="1" applyFill="1">
      <alignment vertical="center"/>
    </xf>
    <xf numFmtId="49" fontId="5" fillId="4" borderId="4" xfId="1" applyNumberFormat="1" applyFont="1" applyFill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177" fontId="5" fillId="0" borderId="5" xfId="1" applyNumberFormat="1" applyFont="1" applyBorder="1" applyAlignment="1">
      <alignment horizontal="center" vertical="center"/>
    </xf>
    <xf numFmtId="49" fontId="5" fillId="6" borderId="4" xfId="0" applyNumberFormat="1" applyFont="1" applyFill="1" applyBorder="1" applyAlignment="1">
      <alignment horizontal="center" vertical="center"/>
    </xf>
    <xf numFmtId="178" fontId="5" fillId="6" borderId="0" xfId="0" applyNumberFormat="1" applyFont="1" applyFill="1" applyAlignment="1">
      <alignment horizontal="center" vertical="center"/>
    </xf>
    <xf numFmtId="178" fontId="5" fillId="6" borderId="5" xfId="0" applyNumberFormat="1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177" fontId="5" fillId="7" borderId="0" xfId="1" applyNumberFormat="1" applyFont="1" applyFill="1" applyAlignment="1">
      <alignment horizontal="center" vertical="center"/>
    </xf>
    <xf numFmtId="178" fontId="6" fillId="6" borderId="5" xfId="0" applyNumberFormat="1" applyFont="1" applyFill="1" applyBorder="1" applyAlignment="1">
      <alignment horizontal="center" vertical="center"/>
    </xf>
    <xf numFmtId="49" fontId="5" fillId="0" borderId="8" xfId="1" applyNumberFormat="1" applyFont="1" applyBorder="1" applyAlignment="1">
      <alignment horizontal="center" vertical="center"/>
    </xf>
    <xf numFmtId="177" fontId="5" fillId="0" borderId="9" xfId="1" applyNumberFormat="1" applyFont="1" applyBorder="1" applyAlignment="1">
      <alignment horizontal="center" vertical="center"/>
    </xf>
    <xf numFmtId="177" fontId="5" fillId="0" borderId="10" xfId="1" applyNumberFormat="1" applyFont="1" applyBorder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79" fontId="5" fillId="0" borderId="0" xfId="1" applyNumberFormat="1" applyFont="1" applyAlignment="1">
      <alignment horizontal="center" vertical="center"/>
    </xf>
    <xf numFmtId="0" fontId="5" fillId="8" borderId="0" xfId="1" applyFont="1" applyFill="1" applyAlignment="1">
      <alignment horizontal="left" vertical="center"/>
    </xf>
    <xf numFmtId="0" fontId="5" fillId="0" borderId="0" xfId="1" applyFont="1" applyAlignment="1">
      <alignment horizontal="left" vertical="center"/>
    </xf>
    <xf numFmtId="49" fontId="2" fillId="4" borderId="1" xfId="2" quotePrefix="1" applyNumberFormat="1" applyFont="1" applyFill="1" applyBorder="1" applyAlignment="1">
      <alignment horizontal="center" vertical="top" wrapText="1"/>
    </xf>
    <xf numFmtId="0" fontId="4" fillId="5" borderId="2" xfId="2" applyFont="1" applyFill="1" applyBorder="1"/>
    <xf numFmtId="0" fontId="4" fillId="0" borderId="3" xfId="2" applyFont="1" applyBorder="1"/>
    <xf numFmtId="180" fontId="2" fillId="0" borderId="0" xfId="2" applyNumberFormat="1" applyFont="1" applyAlignment="1">
      <alignment horizontal="center" vertical="top" wrapText="1"/>
    </xf>
    <xf numFmtId="179" fontId="2" fillId="0" borderId="0" xfId="2" applyNumberFormat="1" applyFont="1" applyAlignment="1">
      <alignment horizontal="center" vertical="top" wrapText="1"/>
    </xf>
    <xf numFmtId="49" fontId="2" fillId="4" borderId="4" xfId="2" quotePrefix="1" applyNumberFormat="1" applyFont="1" applyFill="1" applyBorder="1" applyAlignment="1">
      <alignment horizontal="center" vertical="top" wrapText="1"/>
    </xf>
    <xf numFmtId="0" fontId="4" fillId="0" borderId="0" xfId="2" applyFont="1"/>
    <xf numFmtId="0" fontId="4" fillId="0" borderId="5" xfId="2" applyFont="1" applyBorder="1"/>
    <xf numFmtId="49" fontId="5" fillId="4" borderId="4" xfId="2" applyNumberFormat="1" applyFont="1" applyFill="1" applyBorder="1" applyAlignment="1">
      <alignment horizontal="center" vertical="top" wrapText="1"/>
    </xf>
    <xf numFmtId="0" fontId="4" fillId="9" borderId="0" xfId="2" applyFont="1" applyFill="1"/>
    <xf numFmtId="179" fontId="5" fillId="0" borderId="0" xfId="2" applyNumberFormat="1" applyFont="1" applyAlignment="1">
      <alignment horizontal="center" vertical="top" wrapText="1"/>
    </xf>
    <xf numFmtId="49" fontId="5" fillId="4" borderId="6" xfId="2" applyNumberFormat="1" applyFont="1" applyFill="1" applyBorder="1" applyAlignment="1">
      <alignment horizontal="center" vertical="top" wrapText="1"/>
    </xf>
    <xf numFmtId="49" fontId="5" fillId="4" borderId="7" xfId="2" applyNumberFormat="1" applyFont="1" applyFill="1" applyBorder="1" applyAlignment="1">
      <alignment horizontal="center" vertical="top" wrapText="1"/>
    </xf>
    <xf numFmtId="180" fontId="5" fillId="0" borderId="0" xfId="2" applyNumberFormat="1" applyFont="1" applyAlignment="1">
      <alignment horizontal="center" vertical="top" wrapText="1"/>
    </xf>
    <xf numFmtId="0" fontId="4" fillId="5" borderId="0" xfId="2" applyFont="1" applyFill="1"/>
    <xf numFmtId="179" fontId="5" fillId="0" borderId="11" xfId="2" applyNumberFormat="1" applyFont="1" applyBorder="1" applyAlignment="1">
      <alignment horizontal="center" vertical="top" wrapText="1"/>
    </xf>
    <xf numFmtId="179" fontId="5" fillId="0" borderId="12" xfId="2" applyNumberFormat="1" applyFont="1" applyBorder="1" applyAlignment="1">
      <alignment horizontal="center" vertical="top" wrapText="1"/>
    </xf>
    <xf numFmtId="49" fontId="6" fillId="4" borderId="4" xfId="2" applyNumberFormat="1" applyFont="1" applyFill="1" applyBorder="1" applyAlignment="1">
      <alignment horizontal="center" vertical="top" wrapText="1"/>
    </xf>
    <xf numFmtId="49" fontId="5" fillId="6" borderId="4" xfId="2" applyNumberFormat="1" applyFont="1" applyFill="1" applyBorder="1" applyAlignment="1">
      <alignment horizontal="center" vertical="center"/>
    </xf>
    <xf numFmtId="178" fontId="5" fillId="6" borderId="0" xfId="2" applyNumberFormat="1" applyFont="1" applyFill="1" applyAlignment="1">
      <alignment horizontal="center" vertical="center"/>
    </xf>
    <xf numFmtId="178" fontId="5" fillId="0" borderId="5" xfId="2" applyNumberFormat="1" applyFont="1" applyBorder="1" applyAlignment="1">
      <alignment horizontal="center" vertical="center"/>
    </xf>
    <xf numFmtId="49" fontId="5" fillId="0" borderId="4" xfId="2" applyNumberFormat="1" applyFont="1" applyBorder="1" applyAlignment="1">
      <alignment horizontal="center" vertical="center"/>
    </xf>
    <xf numFmtId="178" fontId="5" fillId="0" borderId="0" xfId="2" applyNumberFormat="1" applyFont="1" applyAlignment="1">
      <alignment horizontal="center" vertical="center"/>
    </xf>
    <xf numFmtId="178" fontId="6" fillId="0" borderId="5" xfId="2" applyNumberFormat="1" applyFont="1" applyBorder="1" applyAlignment="1">
      <alignment horizontal="center" vertical="center"/>
    </xf>
    <xf numFmtId="49" fontId="6" fillId="5" borderId="0" xfId="1" applyNumberFormat="1" applyFont="1" applyFill="1" applyAlignment="1">
      <alignment horizontal="center" vertical="center"/>
    </xf>
    <xf numFmtId="179" fontId="5" fillId="0" borderId="13" xfId="2" applyNumberFormat="1" applyFont="1" applyBorder="1" applyAlignment="1">
      <alignment horizontal="center" vertical="top" wrapText="1"/>
    </xf>
    <xf numFmtId="49" fontId="2" fillId="10" borderId="1" xfId="2" quotePrefix="1" applyNumberFormat="1" applyFont="1" applyFill="1" applyBorder="1" applyAlignment="1">
      <alignment horizontal="center" vertical="top" wrapText="1"/>
    </xf>
    <xf numFmtId="49" fontId="2" fillId="10" borderId="4" xfId="2" quotePrefix="1" applyNumberFormat="1" applyFont="1" applyFill="1" applyBorder="1" applyAlignment="1">
      <alignment horizontal="center" vertical="top" wrapText="1"/>
    </xf>
    <xf numFmtId="49" fontId="5" fillId="10" borderId="4" xfId="2" applyNumberFormat="1" applyFont="1" applyFill="1" applyBorder="1" applyAlignment="1">
      <alignment horizontal="center" vertical="top" wrapText="1"/>
    </xf>
    <xf numFmtId="49" fontId="5" fillId="10" borderId="6" xfId="2" applyNumberFormat="1" applyFont="1" applyFill="1" applyBorder="1" applyAlignment="1">
      <alignment horizontal="center" vertical="top" wrapText="1"/>
    </xf>
    <xf numFmtId="49" fontId="5" fillId="10" borderId="7" xfId="2" applyNumberFormat="1" applyFont="1" applyFill="1" applyBorder="1" applyAlignment="1">
      <alignment horizontal="center" vertical="top" wrapText="1"/>
    </xf>
    <xf numFmtId="49" fontId="6" fillId="10" borderId="4" xfId="2" applyNumberFormat="1" applyFont="1" applyFill="1" applyBorder="1" applyAlignment="1">
      <alignment horizontal="center" vertical="top" wrapText="1"/>
    </xf>
    <xf numFmtId="49" fontId="5" fillId="10" borderId="4" xfId="1" applyNumberFormat="1" applyFont="1" applyFill="1" applyBorder="1" applyAlignment="1">
      <alignment horizontal="center" vertical="center"/>
    </xf>
  </cellXfs>
  <cellStyles count="3">
    <cellStyle name="標準" xfId="0" builtinId="0"/>
    <cellStyle name="標準 2" xfId="2" xr:uid="{D044B8CA-8A54-46EF-9297-8DADF5FF3CED}"/>
    <cellStyle name="標準_mogleDD_案_2003_12" xfId="1" xr:uid="{B92916B1-0320-7248-83C2-82B8092DEFD7}"/>
  </cellStyles>
  <dxfs count="4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nas\Dropbox\FSS\&#12522;&#12470;&#12523;&#12488;&#12471;&#12473;&#12486;&#12512;\2027\ResultSystem_Ver1.20260906.xlsm" TargetMode="External"/><Relationship Id="rId1" Type="http://schemas.openxmlformats.org/officeDocument/2006/relationships/externalLinkPath" Target="/Users/ganas/Dropbox/FSS/&#12522;&#12470;&#12523;&#12488;&#12471;&#12473;&#12486;&#12512;/2027/ResultSystem_Ver1.2026090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kudoutetsuji\Desktop\https:\d.docs.live.net\Users\ganasonic\SkyDrive\FSS\2014\2010_&#12373;&#12398;&#12373;&#12363;&#65343;&#38263;&#37326;&#65343;&#22524;&#29577;&#12456;&#12531;&#12488;&#12522;&#12540;&#12471;&#12540;&#12488;sinn%20&#12398;&#12496;&#12483;&#12463;&#12450;&#12483;&#12503;%20&#12398;&#12496;&#12483;&#12463;&#12450;&#12483;&#12503;.xl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kudoutetsuji\Desktop\https:\d.docs.live.net\Users\ganasonic\SkyDrive\FSS\2014\&#31532;&#65303;&#22238;%20&#22524;&#29577;&#30476;&#30333;&#39340;&#65300;&#65303;&#12514;&#12540;&#12464;&#12523;&#36984;&#25163;&#27177;&#22823;&#20250;1302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デュアルリザルト縦空"/>
      <sheetName val="デュアルリザルトM16F8縦"/>
      <sheetName val="デュアルリザルトF16縦"/>
      <sheetName val="デュアルリザルトM16F8"/>
      <sheetName val="デュアルリザルトF16"/>
      <sheetName val="男子予選SAJ"/>
      <sheetName val="ﾘｻﾞﾙﾄM"/>
      <sheetName val="女子DUAL決勝SAJ"/>
      <sheetName val="DMﾘｻﾞﾙﾄF"/>
      <sheetName val="トーナメント表決勝男子"/>
      <sheetName val="fulldualf"/>
      <sheetName val="トーナメント表決勝女子"/>
      <sheetName val="トーナメント表男子"/>
      <sheetName val="work16"/>
      <sheetName val="workfinal"/>
      <sheetName val="fulldualfinal"/>
      <sheetName val="トーナメント表女子"/>
      <sheetName val="決勝ﾘｻﾞﾙﾄM"/>
      <sheetName val="決勝ﾘｻﾞﾙﾄF"/>
      <sheetName val="決勝ｱﾅｳﾝｽﾘｽﾄ"/>
      <sheetName val="決勝ｽﾀｰﾄﾘｽﾄ新"/>
      <sheetName val="女子予選SAJ"/>
      <sheetName val="ﾘｻﾞﾙﾄF"/>
      <sheetName val="dualwin"/>
      <sheetName val="ｴﾝﾄﾘｰﾘｽﾄV2"/>
      <sheetName val="ｴﾝﾄﾘｰﾘｽﾄV1"/>
      <sheetName val="表示用"/>
      <sheetName val="DMテンプレート"/>
      <sheetName val="スタート用"/>
      <sheetName val="署名"/>
      <sheetName val="ロゴ"/>
      <sheetName val="racerdm_f"/>
      <sheetName val="racerdm_m"/>
      <sheetName val="_work"/>
      <sheetName val="トーナメント作成シート"/>
      <sheetName val="ｴﾝﾄﾘｰﾘｽﾄM"/>
      <sheetName val="ｱﾅｳﾝｽﾘｽﾄ"/>
      <sheetName val="ｴﾝﾄﾘｰﾘｽﾄF"/>
      <sheetName val="DMFinalTemplate"/>
      <sheetName val="ﾘｻﾞﾙﾄDMM"/>
      <sheetName val="ﾘｻﾞﾙﾄDMF"/>
      <sheetName val="ﾘｻﾞﾙﾄ16DMF"/>
      <sheetName val="DM記入シート"/>
      <sheetName val="DM審判シート"/>
      <sheetName val="前走ﾘｽﾄ"/>
      <sheetName val="前走ﾘｽﾄ決勝"/>
      <sheetName val="改修点"/>
      <sheetName val="resulttemplate"/>
      <sheetName val="template_s"/>
      <sheetName val="template"/>
      <sheetName val="Category"/>
      <sheetName val="TimingReport"/>
      <sheetName val="TD"/>
      <sheetName val="参加チームリスト"/>
      <sheetName val="大会情報"/>
      <sheetName val="プロトコル"/>
      <sheetName val="新プロトコル"/>
      <sheetName val="ﾓｰｸﾞﾙ難度"/>
      <sheetName val="FPC"/>
      <sheetName val="NCQF"/>
      <sheetName val="NCQM"/>
      <sheetName val="山本"/>
      <sheetName val="お知らせ"/>
      <sheetName val="トップページ"/>
      <sheetName val="ToDo"/>
      <sheetName val="PDF"/>
      <sheetName val="バックアップ計算用"/>
      <sheetName val="スケジュール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チーム名選出"/>
      <sheetName val="TCM受付"/>
      <sheetName val="スタートリスト"/>
      <sheetName val="ドロー"/>
      <sheetName val="ｴﾝﾄﾘｰﾘｽﾄ"/>
      <sheetName val="ﾘｽﾄ"/>
      <sheetName val="都道府県CD"/>
      <sheetName val="20100304FM_S"/>
      <sheetName val="20100304FW_S"/>
      <sheetName val="2010W参加資格者"/>
      <sheetName val="2010M参加資格"/>
      <sheetName val="スケジュール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ヘッダ・フッダ"/>
      <sheetName val="プロトコル"/>
      <sheetName val="チーム名選出"/>
      <sheetName val="TCM受付"/>
      <sheetName val="スタートリスト"/>
      <sheetName val="ドロー"/>
      <sheetName val="ｴﾝﾄﾘｰﾘｽﾄ長野"/>
      <sheetName val="ｴﾝﾄﾘｰﾘｽﾄ埼玉"/>
      <sheetName val="ｴﾝﾄﾘｰﾘｽﾄ2"/>
      <sheetName val="ﾘｽﾄ"/>
      <sheetName val="男"/>
      <sheetName val="女"/>
      <sheetName val="20130206FW_J"/>
      <sheetName val="20130206FM_J"/>
      <sheetName val="te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458A-80EF-487F-91B9-36ECB5023EFE}">
  <dimension ref="A1:P234"/>
  <sheetViews>
    <sheetView zoomScale="150" zoomScaleNormal="150" workbookViewId="0">
      <selection activeCell="K2" sqref="K2"/>
    </sheetView>
  </sheetViews>
  <sheetFormatPr defaultColWidth="9" defaultRowHeight="12" x14ac:dyDescent="0.2"/>
  <cols>
    <col min="12" max="13" width="9.19921875" style="3"/>
    <col min="15" max="15" width="20.19921875" bestFit="1" customWidth="1"/>
  </cols>
  <sheetData>
    <row r="1" spans="1:16" x14ac:dyDescent="0.2">
      <c r="G1">
        <v>2019</v>
      </c>
      <c r="K1">
        <v>2023</v>
      </c>
    </row>
    <row r="2" spans="1:16" x14ac:dyDescent="0.2">
      <c r="A2" t="s">
        <v>0</v>
      </c>
      <c r="B2">
        <v>0</v>
      </c>
      <c r="C2">
        <v>0</v>
      </c>
      <c r="G2" t="s">
        <v>0</v>
      </c>
      <c r="H2">
        <v>0</v>
      </c>
      <c r="I2">
        <v>0</v>
      </c>
      <c r="K2" t="s">
        <v>0</v>
      </c>
      <c r="L2" s="3">
        <f>VLOOKUP(K2,$A$2:$C$193,2,FALSE)</f>
        <v>0</v>
      </c>
      <c r="M2" s="3">
        <f>VLOOKUP(K2,$A$2:$C$193,3,FALSE)</f>
        <v>0</v>
      </c>
      <c r="O2" t="str">
        <f>"    {@""" &amp;K2&amp;""","&amp;TEXT(L2,"0.000")&amp;","&amp;TEXT(M2,"0.000")&amp;"},"</f>
        <v xml:space="preserve">    {@"-",0.000,0.000},</v>
      </c>
      <c r="P2">
        <v>0</v>
      </c>
    </row>
    <row r="3" spans="1:16" x14ac:dyDescent="0.2">
      <c r="A3">
        <v>3</v>
      </c>
      <c r="B3">
        <v>0.68</v>
      </c>
      <c r="C3">
        <v>0.78</v>
      </c>
      <c r="G3" t="s">
        <v>24</v>
      </c>
      <c r="H3">
        <v>1.02</v>
      </c>
      <c r="I3">
        <v>1.1200000000000001</v>
      </c>
      <c r="K3" t="s">
        <v>24</v>
      </c>
      <c r="L3" s="3">
        <f>VLOOKUP(K3,$A$2:$C$193,2,FALSE)</f>
        <v>1.05</v>
      </c>
      <c r="M3" s="3">
        <f>VLOOKUP(K3,$A$2:$C$193,3,FALSE)</f>
        <v>1.1499999999999999</v>
      </c>
      <c r="O3" t="str">
        <f>"    {@""" &amp;K3&amp;""","&amp;TEXT(L3,"0.000")&amp;","&amp;TEXT(M3,"0.000")&amp;"},"</f>
        <v xml:space="preserve">    {@"bdF",1.050,1.150},</v>
      </c>
      <c r="P3">
        <v>1</v>
      </c>
    </row>
    <row r="4" spans="1:16" x14ac:dyDescent="0.2">
      <c r="A4">
        <v>7</v>
      </c>
      <c r="B4">
        <v>0.85</v>
      </c>
      <c r="C4">
        <v>0.95</v>
      </c>
      <c r="G4" t="s">
        <v>23</v>
      </c>
      <c r="H4">
        <v>0.88</v>
      </c>
      <c r="I4">
        <v>1.03</v>
      </c>
      <c r="K4" t="s">
        <v>23</v>
      </c>
      <c r="L4" s="3">
        <f>VLOOKUP(K4,$A$2:$C$193,2,FALSE)</f>
        <v>0.88</v>
      </c>
      <c r="M4" s="3">
        <f>VLOOKUP(K4,$A$2:$C$193,3,FALSE)</f>
        <v>0.98</v>
      </c>
      <c r="O4" t="str">
        <f t="shared" ref="O4:O66" si="0">"    {@""" &amp;K4&amp;""","&amp;TEXT(L4,"0.000")&amp;","&amp;TEXT(M4,"0.000")&amp;"},"</f>
        <v xml:space="preserve">    {@"bF",0.880,0.980},</v>
      </c>
      <c r="P4">
        <v>2</v>
      </c>
    </row>
    <row r="5" spans="1:16" x14ac:dyDescent="0.2">
      <c r="A5">
        <v>10</v>
      </c>
      <c r="B5">
        <v>1.02</v>
      </c>
      <c r="C5">
        <v>1.1200000000000001</v>
      </c>
      <c r="G5" s="1" t="s">
        <v>187</v>
      </c>
      <c r="H5">
        <v>1.01</v>
      </c>
      <c r="I5">
        <v>1.1599999999999999</v>
      </c>
      <c r="K5" t="s">
        <v>22</v>
      </c>
      <c r="L5" s="3">
        <f>VLOOKUP(K5,$A$2:$C$193,2,FALSE)</f>
        <v>0.82</v>
      </c>
      <c r="M5" s="3">
        <f>VLOOKUP(K5,$A$2:$C$193,3,FALSE)</f>
        <v>0.92</v>
      </c>
      <c r="O5" t="str">
        <f t="shared" si="0"/>
        <v xml:space="preserve">    {@"bG",0.820,0.920},</v>
      </c>
      <c r="P5">
        <v>3</v>
      </c>
    </row>
    <row r="6" spans="1:16" x14ac:dyDescent="0.2">
      <c r="A6" t="s">
        <v>1</v>
      </c>
      <c r="B6">
        <v>0.71</v>
      </c>
      <c r="C6">
        <v>0.81</v>
      </c>
      <c r="G6" s="1" t="s">
        <v>188</v>
      </c>
      <c r="H6">
        <v>0.91</v>
      </c>
      <c r="I6">
        <v>1.06</v>
      </c>
      <c r="K6" t="s">
        <v>19</v>
      </c>
      <c r="L6" s="3">
        <f>VLOOKUP(K6,$A$2:$C$193,2,FALSE)</f>
        <v>0.71</v>
      </c>
      <c r="M6" s="3">
        <f>VLOOKUP(K6,$A$2:$C$193,3,FALSE)</f>
        <v>0.81</v>
      </c>
      <c r="O6" t="str">
        <f t="shared" si="0"/>
        <v xml:space="preserve">    {@"bL",0.710,0.810},</v>
      </c>
      <c r="P6">
        <v>4</v>
      </c>
    </row>
    <row r="7" spans="1:16" x14ac:dyDescent="0.2">
      <c r="A7" t="s">
        <v>2</v>
      </c>
      <c r="B7">
        <v>0.82</v>
      </c>
      <c r="C7">
        <v>0.92</v>
      </c>
      <c r="G7" t="s">
        <v>22</v>
      </c>
      <c r="H7">
        <v>0.83</v>
      </c>
      <c r="I7">
        <v>0.93</v>
      </c>
      <c r="K7" t="s">
        <v>21</v>
      </c>
      <c r="L7">
        <v>0.68</v>
      </c>
      <c r="M7">
        <v>0.78</v>
      </c>
      <c r="O7" t="str">
        <f t="shared" si="0"/>
        <v xml:space="preserve">    {@"bP",0.680,0.780},</v>
      </c>
      <c r="P7">
        <v>5</v>
      </c>
    </row>
    <row r="8" spans="1:16" x14ac:dyDescent="0.2">
      <c r="A8" t="s">
        <v>3</v>
      </c>
      <c r="B8">
        <v>0.68</v>
      </c>
      <c r="C8">
        <v>0.78</v>
      </c>
      <c r="G8" t="s">
        <v>19</v>
      </c>
      <c r="H8">
        <v>0.72</v>
      </c>
      <c r="I8">
        <v>0.82</v>
      </c>
      <c r="K8" t="s">
        <v>20</v>
      </c>
      <c r="L8" s="3">
        <f t="shared" ref="L8:L15" si="1">VLOOKUP(K8,$A$2:$C$193,2,FALSE)</f>
        <v>0.71</v>
      </c>
      <c r="M8" s="3">
        <f t="shared" ref="M8:M15" si="2">VLOOKUP(K8,$A$2:$C$193,3,FALSE)</f>
        <v>0.81</v>
      </c>
      <c r="O8" t="str">
        <f t="shared" si="0"/>
        <v xml:space="preserve">    {@"bp",0.710,0.810},</v>
      </c>
      <c r="P8">
        <v>6</v>
      </c>
    </row>
    <row r="9" spans="1:16" x14ac:dyDescent="0.2">
      <c r="A9" t="s">
        <v>4</v>
      </c>
      <c r="B9">
        <v>0.82</v>
      </c>
      <c r="C9">
        <v>0.92</v>
      </c>
      <c r="G9" s="1" t="s">
        <v>189</v>
      </c>
      <c r="H9">
        <v>0.75</v>
      </c>
      <c r="I9">
        <v>0.85</v>
      </c>
      <c r="K9" t="s">
        <v>18</v>
      </c>
      <c r="L9" s="3">
        <f t="shared" si="1"/>
        <v>0.68</v>
      </c>
      <c r="M9" s="3">
        <f t="shared" si="2"/>
        <v>0.78</v>
      </c>
      <c r="O9" t="str">
        <f t="shared" si="0"/>
        <v xml:space="preserve">    {@"bT",0.680,0.780},</v>
      </c>
      <c r="P9">
        <v>7</v>
      </c>
    </row>
    <row r="10" spans="1:16" x14ac:dyDescent="0.2">
      <c r="A10" t="s">
        <v>5</v>
      </c>
      <c r="B10">
        <v>0.88</v>
      </c>
      <c r="C10">
        <v>0.98</v>
      </c>
      <c r="G10" t="s">
        <v>21</v>
      </c>
      <c r="H10">
        <v>0.7</v>
      </c>
      <c r="I10">
        <v>0.8</v>
      </c>
      <c r="K10" t="s">
        <v>25</v>
      </c>
      <c r="L10" s="3">
        <f t="shared" si="1"/>
        <v>1.22</v>
      </c>
      <c r="M10" s="3">
        <f t="shared" si="2"/>
        <v>1.32</v>
      </c>
      <c r="O10" t="str">
        <f t="shared" si="0"/>
        <v xml:space="preserve">    {@"btF",1.220,1.320},</v>
      </c>
      <c r="P10">
        <v>8</v>
      </c>
    </row>
    <row r="11" spans="1:16" x14ac:dyDescent="0.2">
      <c r="A11" t="s">
        <v>6</v>
      </c>
      <c r="B11">
        <v>1.01</v>
      </c>
      <c r="C11">
        <v>1.1100000000000001</v>
      </c>
      <c r="G11" t="s">
        <v>20</v>
      </c>
      <c r="H11">
        <v>0.73</v>
      </c>
      <c r="I11">
        <v>0.83</v>
      </c>
      <c r="K11" t="s">
        <v>30</v>
      </c>
      <c r="L11" s="3">
        <f t="shared" si="1"/>
        <v>0.88</v>
      </c>
      <c r="M11" s="3">
        <f t="shared" si="2"/>
        <v>0.98</v>
      </c>
      <c r="O11" t="str">
        <f t="shared" si="0"/>
        <v xml:space="preserve">    {@"fF",0.880,0.980},</v>
      </c>
      <c r="P11">
        <v>9</v>
      </c>
    </row>
    <row r="12" spans="1:16" x14ac:dyDescent="0.2">
      <c r="A12" t="s">
        <v>7</v>
      </c>
      <c r="B12">
        <v>0.85</v>
      </c>
      <c r="C12">
        <v>0.95</v>
      </c>
      <c r="G12" s="1" t="s">
        <v>190</v>
      </c>
      <c r="H12">
        <v>0.83</v>
      </c>
      <c r="I12">
        <v>0.93</v>
      </c>
      <c r="K12" t="s">
        <v>29</v>
      </c>
      <c r="L12" s="3">
        <f t="shared" si="1"/>
        <v>0.82</v>
      </c>
      <c r="M12" s="3">
        <f t="shared" si="2"/>
        <v>0.92</v>
      </c>
      <c r="O12" t="str">
        <f t="shared" si="0"/>
        <v xml:space="preserve">    {@"fG",0.820,0.920},</v>
      </c>
      <c r="P12">
        <v>10</v>
      </c>
    </row>
    <row r="13" spans="1:16" x14ac:dyDescent="0.2">
      <c r="A13" t="s">
        <v>8</v>
      </c>
      <c r="B13">
        <v>1.01</v>
      </c>
      <c r="C13">
        <v>1.1100000000000001</v>
      </c>
      <c r="G13" s="1" t="s">
        <v>191</v>
      </c>
      <c r="H13">
        <v>0.73</v>
      </c>
      <c r="I13">
        <v>0.83</v>
      </c>
      <c r="K13" t="s">
        <v>27</v>
      </c>
      <c r="L13" s="3">
        <f t="shared" si="1"/>
        <v>0.68</v>
      </c>
      <c r="M13" s="3">
        <f t="shared" si="2"/>
        <v>0.78</v>
      </c>
      <c r="O13" t="str">
        <f t="shared" si="0"/>
        <v xml:space="preserve">    {@"fP",0.680,0.780},</v>
      </c>
      <c r="P13">
        <v>11</v>
      </c>
    </row>
    <row r="14" spans="1:16" x14ac:dyDescent="0.2">
      <c r="A14" t="s">
        <v>9</v>
      </c>
      <c r="B14">
        <v>0.88</v>
      </c>
      <c r="C14">
        <v>0.98</v>
      </c>
      <c r="G14" s="1" t="s">
        <v>192</v>
      </c>
      <c r="H14">
        <v>0.86</v>
      </c>
      <c r="I14">
        <v>0.96</v>
      </c>
      <c r="K14" t="s">
        <v>28</v>
      </c>
      <c r="L14" s="3">
        <f t="shared" si="1"/>
        <v>0.68</v>
      </c>
      <c r="M14" s="3">
        <f t="shared" si="2"/>
        <v>0.78</v>
      </c>
      <c r="O14" t="str">
        <f t="shared" si="0"/>
        <v xml:space="preserve">    {@"fp",0.680,0.780},</v>
      </c>
      <c r="P14">
        <v>12</v>
      </c>
    </row>
    <row r="15" spans="1:16" x14ac:dyDescent="0.2">
      <c r="A15" t="s">
        <v>10</v>
      </c>
      <c r="B15">
        <v>1.05</v>
      </c>
      <c r="C15">
        <v>1.1499999999999999</v>
      </c>
      <c r="G15" t="s">
        <v>18</v>
      </c>
      <c r="H15">
        <v>0.7</v>
      </c>
      <c r="I15">
        <v>0.8</v>
      </c>
      <c r="K15" t="s">
        <v>26</v>
      </c>
      <c r="L15" s="3">
        <f t="shared" si="1"/>
        <v>0.68</v>
      </c>
      <c r="M15" s="3">
        <f t="shared" si="2"/>
        <v>0.78</v>
      </c>
      <c r="O15" t="str">
        <f t="shared" si="0"/>
        <v xml:space="preserve">    {@"fT",0.680,0.780},</v>
      </c>
      <c r="P15">
        <v>13</v>
      </c>
    </row>
    <row r="16" spans="1:16" x14ac:dyDescent="0.2">
      <c r="A16" t="s">
        <v>11</v>
      </c>
      <c r="B16">
        <v>1.2</v>
      </c>
      <c r="C16">
        <v>1.3</v>
      </c>
      <c r="G16" t="s">
        <v>25</v>
      </c>
      <c r="H16">
        <v>1.19</v>
      </c>
      <c r="I16">
        <v>1.29</v>
      </c>
      <c r="K16" s="2"/>
      <c r="L16" s="4"/>
      <c r="M16" s="4"/>
    </row>
    <row r="17" spans="1:16" x14ac:dyDescent="0.2">
      <c r="A17" t="s">
        <v>12</v>
      </c>
      <c r="B17">
        <v>1.02</v>
      </c>
      <c r="C17">
        <v>1.1200000000000001</v>
      </c>
      <c r="G17" s="1" t="s">
        <v>193</v>
      </c>
      <c r="H17">
        <v>1.02</v>
      </c>
      <c r="I17">
        <v>1.1200000000000001</v>
      </c>
      <c r="K17" t="s">
        <v>0</v>
      </c>
      <c r="L17" s="3">
        <f t="shared" ref="L17:L34" si="3">VLOOKUP(K17,$A$2:$C$193,2,FALSE)</f>
        <v>0</v>
      </c>
      <c r="M17" s="3">
        <f t="shared" ref="M17:M34" si="4">VLOOKUP(K17,$A$2:$C$193,3,FALSE)</f>
        <v>0</v>
      </c>
      <c r="O17" t="str">
        <f t="shared" si="0"/>
        <v xml:space="preserve">    {@"-",0.000,0.000},</v>
      </c>
      <c r="P17">
        <v>14</v>
      </c>
    </row>
    <row r="18" spans="1:16" x14ac:dyDescent="0.2">
      <c r="A18" t="s">
        <v>13</v>
      </c>
      <c r="B18">
        <v>1.2</v>
      </c>
      <c r="C18">
        <v>1.3</v>
      </c>
      <c r="G18" t="s">
        <v>30</v>
      </c>
      <c r="H18">
        <v>0.87</v>
      </c>
      <c r="I18">
        <v>1.02</v>
      </c>
      <c r="K18" t="s">
        <v>3</v>
      </c>
      <c r="L18" s="3">
        <f t="shared" si="3"/>
        <v>0.68</v>
      </c>
      <c r="M18" s="3">
        <f t="shared" si="4"/>
        <v>0.78</v>
      </c>
      <c r="O18" t="str">
        <f t="shared" si="0"/>
        <v xml:space="preserve">    {@"3o",0.680,0.780},</v>
      </c>
      <c r="P18">
        <v>15</v>
      </c>
    </row>
    <row r="19" spans="1:16" x14ac:dyDescent="0.2">
      <c r="A19" t="s">
        <v>14</v>
      </c>
      <c r="B19">
        <v>1.05</v>
      </c>
      <c r="C19">
        <v>1.1499999999999999</v>
      </c>
      <c r="G19" t="s">
        <v>29</v>
      </c>
      <c r="H19">
        <v>0.83</v>
      </c>
      <c r="I19">
        <v>0.93</v>
      </c>
      <c r="K19" t="s">
        <v>4</v>
      </c>
      <c r="L19" s="3">
        <f t="shared" si="3"/>
        <v>0.82</v>
      </c>
      <c r="M19" s="3">
        <f t="shared" si="4"/>
        <v>0.92</v>
      </c>
      <c r="O19" t="str">
        <f t="shared" si="0"/>
        <v xml:space="preserve">    {@"3oG",0.820,0.920},</v>
      </c>
      <c r="P19">
        <v>16</v>
      </c>
    </row>
    <row r="20" spans="1:16" x14ac:dyDescent="0.2">
      <c r="A20" t="s">
        <v>15</v>
      </c>
      <c r="B20">
        <v>1.19</v>
      </c>
      <c r="C20">
        <v>1.29</v>
      </c>
      <c r="G20" s="1" t="s">
        <v>194</v>
      </c>
      <c r="H20">
        <v>0.74</v>
      </c>
      <c r="I20">
        <v>0.84</v>
      </c>
      <c r="K20" t="s">
        <v>7</v>
      </c>
      <c r="L20" s="3">
        <f t="shared" si="3"/>
        <v>0.85</v>
      </c>
      <c r="M20" s="3">
        <f t="shared" si="4"/>
        <v>0.95</v>
      </c>
      <c r="O20" t="str">
        <f t="shared" si="0"/>
        <v xml:space="preserve">    {@"7o",0.850,0.950},</v>
      </c>
      <c r="P20">
        <v>17</v>
      </c>
    </row>
    <row r="21" spans="1:16" x14ac:dyDescent="0.2">
      <c r="A21" t="s">
        <v>16</v>
      </c>
      <c r="B21">
        <v>1.22</v>
      </c>
      <c r="C21">
        <v>1.32</v>
      </c>
      <c r="G21" t="s">
        <v>27</v>
      </c>
      <c r="H21">
        <v>0.74</v>
      </c>
      <c r="I21">
        <v>0.84</v>
      </c>
      <c r="K21" t="s">
        <v>8</v>
      </c>
      <c r="L21" s="3">
        <f t="shared" si="3"/>
        <v>1.01</v>
      </c>
      <c r="M21" s="3">
        <f t="shared" si="4"/>
        <v>1.1100000000000001</v>
      </c>
      <c r="O21" t="str">
        <f t="shared" si="0"/>
        <v xml:space="preserve">    {@"7oG",1.010,1.110},</v>
      </c>
      <c r="P21">
        <v>18</v>
      </c>
    </row>
    <row r="22" spans="1:16" x14ac:dyDescent="0.2">
      <c r="A22" t="s">
        <v>17</v>
      </c>
      <c r="B22">
        <v>1.39</v>
      </c>
      <c r="C22">
        <v>1.49</v>
      </c>
      <c r="G22" t="s">
        <v>28</v>
      </c>
      <c r="H22">
        <v>0.77</v>
      </c>
      <c r="I22">
        <v>0.87</v>
      </c>
      <c r="K22" t="s">
        <v>9</v>
      </c>
      <c r="L22" s="3">
        <f t="shared" si="3"/>
        <v>0.88</v>
      </c>
      <c r="M22" s="3">
        <f t="shared" si="4"/>
        <v>0.98</v>
      </c>
      <c r="O22" t="str">
        <f t="shared" si="0"/>
        <v xml:space="preserve">    {@"7op",0.880,0.980},</v>
      </c>
      <c r="P22">
        <v>19</v>
      </c>
    </row>
    <row r="23" spans="1:16" x14ac:dyDescent="0.2">
      <c r="A23" t="s">
        <v>18</v>
      </c>
      <c r="B23">
        <v>0.68</v>
      </c>
      <c r="C23">
        <v>0.78</v>
      </c>
      <c r="G23" s="1" t="s">
        <v>195</v>
      </c>
      <c r="H23">
        <v>0.86</v>
      </c>
      <c r="I23">
        <v>0.96</v>
      </c>
      <c r="K23" t="s">
        <v>12</v>
      </c>
      <c r="L23" s="3">
        <f t="shared" si="3"/>
        <v>1.02</v>
      </c>
      <c r="M23" s="3">
        <f t="shared" si="4"/>
        <v>1.1200000000000001</v>
      </c>
      <c r="O23" t="str">
        <f t="shared" si="0"/>
        <v xml:space="preserve">    {@"10o",1.020,1.120},</v>
      </c>
      <c r="P23">
        <v>20</v>
      </c>
    </row>
    <row r="24" spans="1:16" x14ac:dyDescent="0.2">
      <c r="A24" t="s">
        <v>19</v>
      </c>
      <c r="B24">
        <v>0.71</v>
      </c>
      <c r="C24">
        <v>0.81</v>
      </c>
      <c r="G24" s="1" t="s">
        <v>196</v>
      </c>
      <c r="H24">
        <v>0.83</v>
      </c>
      <c r="I24">
        <v>0.93</v>
      </c>
      <c r="K24" t="s">
        <v>13</v>
      </c>
      <c r="L24" s="3">
        <f t="shared" si="3"/>
        <v>1.2</v>
      </c>
      <c r="M24" s="3">
        <f t="shared" si="4"/>
        <v>1.3</v>
      </c>
      <c r="O24" t="str">
        <f t="shared" si="0"/>
        <v xml:space="preserve">    {@"10oG",1.200,1.300},</v>
      </c>
      <c r="P24">
        <v>21</v>
      </c>
    </row>
    <row r="25" spans="1:16" x14ac:dyDescent="0.2">
      <c r="A25" t="s">
        <v>20</v>
      </c>
      <c r="B25">
        <v>0.71</v>
      </c>
      <c r="C25">
        <v>0.81</v>
      </c>
      <c r="G25" s="1" t="s">
        <v>197</v>
      </c>
      <c r="H25">
        <v>0.86</v>
      </c>
      <c r="I25">
        <v>0.96</v>
      </c>
      <c r="K25" t="s">
        <v>14</v>
      </c>
      <c r="L25" s="3">
        <f t="shared" si="3"/>
        <v>1.05</v>
      </c>
      <c r="M25" s="3">
        <f t="shared" si="4"/>
        <v>1.1499999999999999</v>
      </c>
      <c r="O25" t="str">
        <f t="shared" si="0"/>
        <v xml:space="preserve">    {@"10op",1.050,1.150},</v>
      </c>
      <c r="P25">
        <v>22</v>
      </c>
    </row>
    <row r="26" spans="1:16" x14ac:dyDescent="0.2">
      <c r="A26" t="s">
        <v>21</v>
      </c>
      <c r="B26">
        <v>0.68</v>
      </c>
      <c r="C26">
        <v>0.78</v>
      </c>
      <c r="G26" t="s">
        <v>26</v>
      </c>
      <c r="H26">
        <v>0.74</v>
      </c>
      <c r="I26">
        <v>0.84</v>
      </c>
      <c r="K26" t="s">
        <v>15</v>
      </c>
      <c r="L26" s="3">
        <f t="shared" si="3"/>
        <v>1.19</v>
      </c>
      <c r="M26" s="3">
        <f t="shared" si="4"/>
        <v>1.29</v>
      </c>
      <c r="O26" t="str">
        <f t="shared" si="0"/>
        <v xml:space="preserve">    {@"14o",1.190,1.290},</v>
      </c>
      <c r="P26">
        <v>23</v>
      </c>
    </row>
    <row r="27" spans="1:16" x14ac:dyDescent="0.2">
      <c r="A27" t="s">
        <v>22</v>
      </c>
      <c r="B27">
        <v>0.82</v>
      </c>
      <c r="C27">
        <v>0.92</v>
      </c>
      <c r="G27" s="1" t="s">
        <v>198</v>
      </c>
      <c r="H27">
        <v>0.83</v>
      </c>
      <c r="I27">
        <v>0.93</v>
      </c>
      <c r="K27" t="s">
        <v>17</v>
      </c>
      <c r="L27" s="3">
        <f t="shared" si="3"/>
        <v>1.39</v>
      </c>
      <c r="M27" s="3">
        <f t="shared" si="4"/>
        <v>1.49</v>
      </c>
      <c r="O27" t="str">
        <f t="shared" si="0"/>
        <v xml:space="preserve">    {@"14oG",1.390,1.490},</v>
      </c>
      <c r="P27">
        <v>24</v>
      </c>
    </row>
    <row r="28" spans="1:16" x14ac:dyDescent="0.2">
      <c r="A28" t="s">
        <v>23</v>
      </c>
      <c r="B28">
        <v>0.88</v>
      </c>
      <c r="C28">
        <v>0.98</v>
      </c>
      <c r="G28" s="1" t="s">
        <v>199</v>
      </c>
      <c r="H28">
        <v>0.77</v>
      </c>
      <c r="I28">
        <v>0.87</v>
      </c>
      <c r="K28" t="s">
        <v>16</v>
      </c>
      <c r="L28" s="3">
        <f t="shared" si="3"/>
        <v>1.22</v>
      </c>
      <c r="M28" s="3">
        <f t="shared" si="4"/>
        <v>1.32</v>
      </c>
      <c r="O28" t="str">
        <f t="shared" si="0"/>
        <v xml:space="preserve">    {@"14op",1.220,1.320},</v>
      </c>
      <c r="P28">
        <v>25</v>
      </c>
    </row>
    <row r="29" spans="1:16" x14ac:dyDescent="0.2">
      <c r="A29" t="s">
        <v>24</v>
      </c>
      <c r="B29">
        <v>1.05</v>
      </c>
      <c r="C29">
        <v>1.1499999999999999</v>
      </c>
      <c r="K29" t="s">
        <v>31</v>
      </c>
      <c r="L29" s="3">
        <f t="shared" si="3"/>
        <v>0.68</v>
      </c>
      <c r="M29" s="3">
        <f t="shared" si="4"/>
        <v>0.78</v>
      </c>
      <c r="O29" t="str">
        <f t="shared" si="0"/>
        <v xml:space="preserve">    {@"l",0.680,0.780},</v>
      </c>
      <c r="P29">
        <v>26</v>
      </c>
    </row>
    <row r="30" spans="1:16" x14ac:dyDescent="0.2">
      <c r="A30" t="s">
        <v>25</v>
      </c>
      <c r="B30">
        <v>1.22</v>
      </c>
      <c r="C30">
        <v>1.32</v>
      </c>
      <c r="G30" t="s">
        <v>0</v>
      </c>
      <c r="H30">
        <v>0</v>
      </c>
      <c r="I30">
        <v>0</v>
      </c>
      <c r="K30" t="s">
        <v>34</v>
      </c>
      <c r="L30" s="3">
        <f t="shared" si="3"/>
        <v>0.85</v>
      </c>
      <c r="M30" s="3">
        <f t="shared" si="4"/>
        <v>0.95</v>
      </c>
      <c r="O30" t="str">
        <f t="shared" si="0"/>
        <v xml:space="preserve">    {@"lF",0.850,0.950},</v>
      </c>
      <c r="P30">
        <v>27</v>
      </c>
    </row>
    <row r="31" spans="1:16" x14ac:dyDescent="0.2">
      <c r="A31" t="s">
        <v>26</v>
      </c>
      <c r="B31">
        <v>0.68</v>
      </c>
      <c r="C31">
        <v>0.78</v>
      </c>
      <c r="G31" t="s">
        <v>3</v>
      </c>
      <c r="H31">
        <v>0.71</v>
      </c>
      <c r="I31">
        <v>0.81</v>
      </c>
      <c r="K31" t="s">
        <v>33</v>
      </c>
      <c r="L31" s="3">
        <f t="shared" si="3"/>
        <v>0.82</v>
      </c>
      <c r="M31" s="3">
        <f t="shared" si="4"/>
        <v>0.92</v>
      </c>
      <c r="O31" t="str">
        <f t="shared" si="0"/>
        <v xml:space="preserve">    {@"lG",0.820,0.920},</v>
      </c>
      <c r="P31">
        <v>28</v>
      </c>
    </row>
    <row r="32" spans="1:16" x14ac:dyDescent="0.2">
      <c r="A32" t="s">
        <v>27</v>
      </c>
      <c r="B32">
        <v>0.68</v>
      </c>
      <c r="C32">
        <v>0.78</v>
      </c>
      <c r="G32" t="s">
        <v>4</v>
      </c>
      <c r="H32">
        <v>0.84</v>
      </c>
      <c r="I32">
        <v>0.96</v>
      </c>
      <c r="K32" t="s">
        <v>36</v>
      </c>
      <c r="L32" s="3">
        <f t="shared" si="3"/>
        <v>1.01</v>
      </c>
      <c r="M32" s="3">
        <f t="shared" si="4"/>
        <v>1.1100000000000001</v>
      </c>
      <c r="O32" t="str">
        <f t="shared" si="0"/>
        <v xml:space="preserve">    {@"lGF",1.010,1.110},</v>
      </c>
      <c r="P32">
        <v>29</v>
      </c>
    </row>
    <row r="33" spans="1:16" x14ac:dyDescent="0.2">
      <c r="A33" t="s">
        <v>28</v>
      </c>
      <c r="B33">
        <v>0.71</v>
      </c>
      <c r="C33">
        <v>0.81</v>
      </c>
      <c r="G33" s="1" t="s">
        <v>200</v>
      </c>
      <c r="H33">
        <v>0.74</v>
      </c>
      <c r="I33">
        <v>0.84</v>
      </c>
      <c r="K33" t="s">
        <v>32</v>
      </c>
      <c r="L33" s="3">
        <f t="shared" si="3"/>
        <v>0.71</v>
      </c>
      <c r="M33" s="3">
        <f t="shared" si="4"/>
        <v>0.81</v>
      </c>
      <c r="O33" t="str">
        <f t="shared" si="0"/>
        <v xml:space="preserve">    {@"lp",0.710,0.810},</v>
      </c>
      <c r="P33">
        <v>30</v>
      </c>
    </row>
    <row r="34" spans="1:16" x14ac:dyDescent="0.2">
      <c r="A34" t="s">
        <v>29</v>
      </c>
      <c r="B34">
        <v>0.82</v>
      </c>
      <c r="C34">
        <v>0.92</v>
      </c>
      <c r="G34" t="s">
        <v>7</v>
      </c>
      <c r="H34">
        <v>0.83</v>
      </c>
      <c r="I34">
        <v>0.98</v>
      </c>
      <c r="K34" t="s">
        <v>35</v>
      </c>
      <c r="L34" s="3">
        <f t="shared" si="3"/>
        <v>0.88</v>
      </c>
      <c r="M34" s="3">
        <f t="shared" si="4"/>
        <v>0.98</v>
      </c>
      <c r="O34" t="str">
        <f t="shared" si="0"/>
        <v xml:space="preserve">    {@"lpF",0.880,0.980},</v>
      </c>
      <c r="P34">
        <v>31</v>
      </c>
    </row>
    <row r="35" spans="1:16" x14ac:dyDescent="0.2">
      <c r="A35" t="s">
        <v>30</v>
      </c>
      <c r="B35">
        <v>0.88</v>
      </c>
      <c r="C35">
        <v>0.98</v>
      </c>
      <c r="G35" t="s">
        <v>8</v>
      </c>
      <c r="H35">
        <v>0.96</v>
      </c>
      <c r="I35">
        <v>1.1299999999999999</v>
      </c>
      <c r="K35" s="2"/>
      <c r="L35" s="4"/>
      <c r="M35" s="4"/>
    </row>
    <row r="36" spans="1:16" x14ac:dyDescent="0.2">
      <c r="A36" t="s">
        <v>31</v>
      </c>
      <c r="B36">
        <v>0.68</v>
      </c>
      <c r="C36">
        <v>0.78</v>
      </c>
      <c r="G36" t="s">
        <v>9</v>
      </c>
      <c r="H36">
        <v>0.86</v>
      </c>
      <c r="I36">
        <v>1.01</v>
      </c>
      <c r="K36" t="s">
        <v>0</v>
      </c>
      <c r="L36" s="3">
        <f t="shared" ref="L36:L67" si="5">VLOOKUP(K36,$A$2:$C$193,2,FALSE)</f>
        <v>0</v>
      </c>
      <c r="M36" s="3">
        <f t="shared" ref="M36:M67" si="6">VLOOKUP(K36,$A$2:$C$193,3,FALSE)</f>
        <v>0</v>
      </c>
      <c r="O36" t="str">
        <f t="shared" si="0"/>
        <v xml:space="preserve">    {@"-",0.000,0.000},</v>
      </c>
      <c r="P36">
        <v>32</v>
      </c>
    </row>
    <row r="37" spans="1:16" x14ac:dyDescent="0.2">
      <c r="A37" t="s">
        <v>32</v>
      </c>
      <c r="B37">
        <v>0.71</v>
      </c>
      <c r="C37">
        <v>0.81</v>
      </c>
      <c r="G37" s="1" t="s">
        <v>201</v>
      </c>
      <c r="H37">
        <v>0.99</v>
      </c>
      <c r="I37">
        <v>1.1599999999999999</v>
      </c>
      <c r="K37">
        <v>3</v>
      </c>
      <c r="L37" s="3">
        <f t="shared" si="5"/>
        <v>0.68</v>
      </c>
      <c r="M37" s="3">
        <f t="shared" si="6"/>
        <v>0.78</v>
      </c>
      <c r="O37" t="str">
        <f t="shared" si="0"/>
        <v xml:space="preserve">    {@"3",0.680,0.780},</v>
      </c>
      <c r="P37">
        <v>33</v>
      </c>
    </row>
    <row r="38" spans="1:16" x14ac:dyDescent="0.2">
      <c r="A38" t="s">
        <v>33</v>
      </c>
      <c r="B38">
        <v>0.82</v>
      </c>
      <c r="C38">
        <v>0.92</v>
      </c>
      <c r="G38" s="1" t="s">
        <v>202</v>
      </c>
      <c r="H38">
        <v>0.96</v>
      </c>
      <c r="I38">
        <v>1.1299999999999999</v>
      </c>
      <c r="K38" t="s">
        <v>2</v>
      </c>
      <c r="L38" s="3">
        <f t="shared" si="5"/>
        <v>0.82</v>
      </c>
      <c r="M38" s="3">
        <f t="shared" si="6"/>
        <v>0.92</v>
      </c>
      <c r="O38" t="str">
        <f>"    {@""" &amp;K38&amp;""","&amp;TEXT(L38,"0.000")&amp;","&amp;TEXT(M38,"0.000")&amp;"},"</f>
        <v xml:space="preserve">    {@"3G",0.820,0.920},</v>
      </c>
      <c r="P38">
        <v>34</v>
      </c>
    </row>
    <row r="39" spans="1:16" x14ac:dyDescent="0.2">
      <c r="A39" t="s">
        <v>34</v>
      </c>
      <c r="B39">
        <v>0.85</v>
      </c>
      <c r="C39">
        <v>0.95</v>
      </c>
      <c r="G39" s="1" t="s">
        <v>203</v>
      </c>
      <c r="H39">
        <v>0.89</v>
      </c>
      <c r="I39">
        <v>1.04</v>
      </c>
      <c r="K39" t="s">
        <v>1</v>
      </c>
      <c r="L39" s="3">
        <f t="shared" si="5"/>
        <v>0.71</v>
      </c>
      <c r="M39" s="3">
        <f t="shared" si="6"/>
        <v>0.81</v>
      </c>
      <c r="O39" t="str">
        <f>"    {@""" &amp;K39&amp;""","&amp;TEXT(L39,"0.000")&amp;","&amp;TEXT(M39,"0.000")&amp;"},"</f>
        <v xml:space="preserve">    {@"3p",0.710,0.810},</v>
      </c>
      <c r="P39">
        <v>35</v>
      </c>
    </row>
    <row r="40" spans="1:16" x14ac:dyDescent="0.2">
      <c r="A40" t="s">
        <v>35</v>
      </c>
      <c r="B40">
        <v>0.88</v>
      </c>
      <c r="C40">
        <v>0.98</v>
      </c>
      <c r="G40" t="s">
        <v>12</v>
      </c>
      <c r="H40">
        <v>0.99</v>
      </c>
      <c r="I40">
        <v>1.0900000000000001</v>
      </c>
      <c r="K40">
        <v>7</v>
      </c>
      <c r="L40" s="3">
        <f t="shared" si="5"/>
        <v>0.85</v>
      </c>
      <c r="M40" s="3">
        <f t="shared" si="6"/>
        <v>0.95</v>
      </c>
      <c r="O40" t="str">
        <f t="shared" si="0"/>
        <v xml:space="preserve">    {@"7",0.850,0.950},</v>
      </c>
      <c r="P40">
        <v>36</v>
      </c>
    </row>
    <row r="41" spans="1:16" x14ac:dyDescent="0.2">
      <c r="A41" t="s">
        <v>36</v>
      </c>
      <c r="B41">
        <v>1.01</v>
      </c>
      <c r="C41">
        <v>1.1100000000000001</v>
      </c>
      <c r="G41" t="s">
        <v>13</v>
      </c>
      <c r="H41">
        <v>1.1200000000000001</v>
      </c>
      <c r="I41">
        <v>1.24</v>
      </c>
      <c r="K41" t="s">
        <v>6</v>
      </c>
      <c r="L41" s="3">
        <f t="shared" si="5"/>
        <v>1.01</v>
      </c>
      <c r="M41" s="3">
        <f t="shared" si="6"/>
        <v>1.1100000000000001</v>
      </c>
      <c r="O41" t="str">
        <f>"    {@""" &amp;K41&amp;""","&amp;TEXT(L41,"0.000")&amp;","&amp;TEXT(M41,"0.000")&amp;"},"</f>
        <v xml:space="preserve">    {@"7G",1.010,1.110},</v>
      </c>
      <c r="P41">
        <v>37</v>
      </c>
    </row>
    <row r="42" spans="1:16" x14ac:dyDescent="0.2">
      <c r="A42" t="s">
        <v>37</v>
      </c>
      <c r="B42">
        <v>0.41000000000000003</v>
      </c>
      <c r="C42">
        <v>0.51</v>
      </c>
      <c r="G42" t="s">
        <v>14</v>
      </c>
      <c r="H42">
        <v>1.02</v>
      </c>
      <c r="I42">
        <v>1.1200000000000001</v>
      </c>
      <c r="K42" t="s">
        <v>5</v>
      </c>
      <c r="L42" s="3">
        <f t="shared" si="5"/>
        <v>0.88</v>
      </c>
      <c r="M42" s="3">
        <f t="shared" si="6"/>
        <v>0.98</v>
      </c>
      <c r="O42" t="str">
        <f>"    {@""" &amp;K42&amp;""","&amp;TEXT(L42,"0.000")&amp;","&amp;TEXT(M42,"0.000")&amp;"},"</f>
        <v xml:space="preserve">    {@"7p",0.880,0.980},</v>
      </c>
      <c r="P42">
        <v>38</v>
      </c>
    </row>
    <row r="43" spans="1:16" x14ac:dyDescent="0.2">
      <c r="A43" t="s">
        <v>38</v>
      </c>
      <c r="B43">
        <v>0.55000000000000004</v>
      </c>
      <c r="C43">
        <v>0.65</v>
      </c>
      <c r="G43" s="1" t="s">
        <v>204</v>
      </c>
      <c r="H43">
        <v>1.1499999999999999</v>
      </c>
      <c r="I43">
        <v>1.27</v>
      </c>
      <c r="K43">
        <v>10</v>
      </c>
      <c r="L43" s="3">
        <f t="shared" si="5"/>
        <v>1.02</v>
      </c>
      <c r="M43" s="3">
        <f t="shared" si="6"/>
        <v>1.1200000000000001</v>
      </c>
      <c r="O43" t="str">
        <f t="shared" si="0"/>
        <v xml:space="preserve">    {@"10",1.020,1.120},</v>
      </c>
      <c r="P43">
        <v>39</v>
      </c>
    </row>
    <row r="44" spans="1:16" x14ac:dyDescent="0.2">
      <c r="A44" t="s">
        <v>39</v>
      </c>
      <c r="B44">
        <v>0.68</v>
      </c>
      <c r="C44">
        <v>0.78</v>
      </c>
      <c r="G44" t="s">
        <v>15</v>
      </c>
      <c r="H44">
        <v>1.1100000000000001</v>
      </c>
      <c r="I44">
        <v>1.21</v>
      </c>
      <c r="K44" t="s">
        <v>11</v>
      </c>
      <c r="L44" s="3">
        <f t="shared" si="5"/>
        <v>1.2</v>
      </c>
      <c r="M44" s="3">
        <f t="shared" si="6"/>
        <v>1.3</v>
      </c>
      <c r="O44" t="str">
        <f t="shared" si="0"/>
        <v xml:space="preserve">    {@"10G",1.200,1.300},</v>
      </c>
      <c r="P44">
        <v>40</v>
      </c>
    </row>
    <row r="45" spans="1:16" x14ac:dyDescent="0.2">
      <c r="A45" t="s">
        <v>40</v>
      </c>
      <c r="B45">
        <v>0.82000000000000006</v>
      </c>
      <c r="C45">
        <v>0.92</v>
      </c>
      <c r="G45" t="s">
        <v>17</v>
      </c>
      <c r="H45">
        <v>1.24</v>
      </c>
      <c r="I45">
        <v>1.34</v>
      </c>
      <c r="K45" t="s">
        <v>10</v>
      </c>
      <c r="L45" s="3">
        <f t="shared" si="5"/>
        <v>1.05</v>
      </c>
      <c r="M45" s="3">
        <f t="shared" si="6"/>
        <v>1.1499999999999999</v>
      </c>
      <c r="O45" t="str">
        <f t="shared" si="0"/>
        <v xml:space="preserve">    {@"10p",1.050,1.150},</v>
      </c>
      <c r="P45">
        <v>41</v>
      </c>
    </row>
    <row r="46" spans="1:16" x14ac:dyDescent="0.2">
      <c r="A46" t="s">
        <v>41</v>
      </c>
      <c r="B46">
        <v>0.69000000000000006</v>
      </c>
      <c r="C46">
        <v>0.79</v>
      </c>
      <c r="G46" t="s">
        <v>16</v>
      </c>
      <c r="H46">
        <v>1.1399999999999999</v>
      </c>
      <c r="I46">
        <v>1.24</v>
      </c>
      <c r="K46" t="s">
        <v>37</v>
      </c>
      <c r="L46" s="3">
        <f t="shared" si="5"/>
        <v>0.41000000000000003</v>
      </c>
      <c r="M46" s="3">
        <f t="shared" si="6"/>
        <v>0.51</v>
      </c>
      <c r="O46" t="str">
        <f t="shared" si="0"/>
        <v xml:space="preserve">    {@"D",0.410,0.510},</v>
      </c>
      <c r="P46">
        <v>42</v>
      </c>
    </row>
    <row r="47" spans="1:16" x14ac:dyDescent="0.2">
      <c r="A47" t="s">
        <v>42</v>
      </c>
      <c r="B47">
        <v>0.65</v>
      </c>
      <c r="C47">
        <v>0.75</v>
      </c>
      <c r="G47" t="s">
        <v>31</v>
      </c>
      <c r="H47">
        <v>0.71</v>
      </c>
      <c r="I47">
        <v>0.81</v>
      </c>
      <c r="K47" t="s">
        <v>38</v>
      </c>
      <c r="L47" s="3">
        <f t="shared" si="5"/>
        <v>0.55000000000000004</v>
      </c>
      <c r="M47" s="3">
        <f t="shared" si="6"/>
        <v>0.65</v>
      </c>
      <c r="O47" t="str">
        <f t="shared" si="0"/>
        <v xml:space="preserve">    {@"DD",0.550,0.650},</v>
      </c>
      <c r="P47">
        <v>43</v>
      </c>
    </row>
    <row r="48" spans="1:16" x14ac:dyDescent="0.2">
      <c r="A48" t="s">
        <v>43</v>
      </c>
      <c r="B48">
        <v>0.65</v>
      </c>
      <c r="C48">
        <v>0.75</v>
      </c>
      <c r="G48" t="s">
        <v>34</v>
      </c>
      <c r="H48">
        <v>0.84</v>
      </c>
      <c r="I48">
        <v>0.93</v>
      </c>
      <c r="K48" t="s">
        <v>39</v>
      </c>
      <c r="L48" s="3">
        <f t="shared" si="5"/>
        <v>0.68</v>
      </c>
      <c r="M48" s="3">
        <f t="shared" si="6"/>
        <v>0.78</v>
      </c>
      <c r="O48" t="str">
        <f t="shared" si="0"/>
        <v xml:space="preserve">    {@"DDD",0.680,0.780},</v>
      </c>
      <c r="P48">
        <v>44</v>
      </c>
    </row>
    <row r="49" spans="1:16" x14ac:dyDescent="0.2">
      <c r="A49" t="s">
        <v>44</v>
      </c>
      <c r="B49">
        <v>0.74</v>
      </c>
      <c r="C49">
        <v>0.84</v>
      </c>
      <c r="G49" s="1" t="s">
        <v>205</v>
      </c>
      <c r="H49">
        <v>0.84</v>
      </c>
      <c r="I49">
        <v>0.93</v>
      </c>
      <c r="K49" t="s">
        <v>40</v>
      </c>
      <c r="L49" s="3">
        <f t="shared" si="5"/>
        <v>0.82000000000000006</v>
      </c>
      <c r="M49" s="3">
        <f t="shared" si="6"/>
        <v>0.92</v>
      </c>
      <c r="O49" t="str">
        <f t="shared" si="0"/>
        <v xml:space="preserve">    {@"DDDG",0.820,0.920},</v>
      </c>
      <c r="P49">
        <v>45</v>
      </c>
    </row>
    <row r="50" spans="1:16" x14ac:dyDescent="0.2">
      <c r="A50" t="s">
        <v>45</v>
      </c>
      <c r="B50">
        <v>0.74</v>
      </c>
      <c r="C50">
        <v>0.84</v>
      </c>
      <c r="G50" t="s">
        <v>33</v>
      </c>
      <c r="H50">
        <v>0.83</v>
      </c>
      <c r="I50">
        <v>0.94</v>
      </c>
      <c r="K50" t="s">
        <v>41</v>
      </c>
      <c r="L50" s="3">
        <f t="shared" si="5"/>
        <v>0.69000000000000006</v>
      </c>
      <c r="M50" s="3">
        <f t="shared" si="6"/>
        <v>0.79</v>
      </c>
      <c r="O50" t="str">
        <f t="shared" si="0"/>
        <v xml:space="preserve">    {@"DDG",0.690,0.790},</v>
      </c>
      <c r="P50">
        <v>46</v>
      </c>
    </row>
    <row r="51" spans="1:16" x14ac:dyDescent="0.2">
      <c r="A51" t="s">
        <v>46</v>
      </c>
      <c r="B51">
        <v>0.82</v>
      </c>
      <c r="C51">
        <v>0.91999999999999993</v>
      </c>
      <c r="G51" t="s">
        <v>36</v>
      </c>
      <c r="H51">
        <v>0.97</v>
      </c>
      <c r="I51">
        <v>1.0900000000000001</v>
      </c>
      <c r="K51" t="s">
        <v>42</v>
      </c>
      <c r="L51" s="3">
        <f t="shared" si="5"/>
        <v>0.65</v>
      </c>
      <c r="M51" s="3">
        <f t="shared" si="6"/>
        <v>0.75</v>
      </c>
      <c r="O51" t="str">
        <f t="shared" si="0"/>
        <v xml:space="preserve">    {@"DDS",0.650,0.750},</v>
      </c>
      <c r="P51">
        <v>47</v>
      </c>
    </row>
    <row r="52" spans="1:16" x14ac:dyDescent="0.2">
      <c r="A52" t="s">
        <v>47</v>
      </c>
      <c r="B52">
        <v>0.55000000000000004</v>
      </c>
      <c r="C52">
        <v>0.65</v>
      </c>
      <c r="G52" s="1" t="s">
        <v>206</v>
      </c>
      <c r="H52">
        <v>0.73</v>
      </c>
      <c r="I52">
        <v>0.83</v>
      </c>
      <c r="K52" t="s">
        <v>43</v>
      </c>
      <c r="L52" s="3">
        <f t="shared" si="5"/>
        <v>0.65</v>
      </c>
      <c r="M52" s="3">
        <f t="shared" si="6"/>
        <v>0.75</v>
      </c>
      <c r="O52" t="str">
        <f t="shared" si="0"/>
        <v xml:space="preserve">    {@"DDT",0.650,0.750},</v>
      </c>
      <c r="P52">
        <v>48</v>
      </c>
    </row>
    <row r="53" spans="1:16" x14ac:dyDescent="0.2">
      <c r="A53" t="s">
        <v>48</v>
      </c>
      <c r="B53">
        <v>0.55000000000000004</v>
      </c>
      <c r="C53">
        <v>0.65</v>
      </c>
      <c r="G53" t="s">
        <v>207</v>
      </c>
      <c r="H53">
        <v>0.71</v>
      </c>
      <c r="I53">
        <v>0.81</v>
      </c>
      <c r="K53" t="s">
        <v>44</v>
      </c>
      <c r="L53" s="3">
        <f t="shared" si="5"/>
        <v>0.74</v>
      </c>
      <c r="M53" s="3">
        <f t="shared" si="6"/>
        <v>0.84</v>
      </c>
      <c r="O53" t="str">
        <f t="shared" si="0"/>
        <v xml:space="preserve">    {@"DDTS",0.740,0.840},</v>
      </c>
      <c r="P53">
        <v>49</v>
      </c>
    </row>
    <row r="54" spans="1:16" x14ac:dyDescent="0.2">
      <c r="A54" t="s">
        <v>49</v>
      </c>
      <c r="B54">
        <v>0.69000000000000006</v>
      </c>
      <c r="C54">
        <v>0.79</v>
      </c>
      <c r="G54" t="s">
        <v>32</v>
      </c>
      <c r="H54">
        <v>0.74</v>
      </c>
      <c r="I54">
        <v>0.84</v>
      </c>
      <c r="K54" t="s">
        <v>45</v>
      </c>
      <c r="L54" s="3">
        <f t="shared" si="5"/>
        <v>0.74</v>
      </c>
      <c r="M54" s="3">
        <f t="shared" si="6"/>
        <v>0.84</v>
      </c>
      <c r="O54" t="str">
        <f t="shared" si="0"/>
        <v xml:space="preserve">    {@"DDTT",0.740,0.840},</v>
      </c>
      <c r="P54">
        <v>50</v>
      </c>
    </row>
    <row r="55" spans="1:16" x14ac:dyDescent="0.2">
      <c r="A55" t="s">
        <v>50</v>
      </c>
      <c r="B55">
        <v>0.52</v>
      </c>
      <c r="C55">
        <v>0.62</v>
      </c>
      <c r="G55" t="s">
        <v>35</v>
      </c>
      <c r="H55">
        <v>0.87</v>
      </c>
      <c r="I55">
        <v>0.97</v>
      </c>
      <c r="K55" t="s">
        <v>46</v>
      </c>
      <c r="L55" s="3">
        <f t="shared" si="5"/>
        <v>0.82</v>
      </c>
      <c r="M55" s="3">
        <f t="shared" si="6"/>
        <v>0.91999999999999993</v>
      </c>
      <c r="O55" t="str">
        <f t="shared" si="0"/>
        <v xml:space="preserve">    {@"DDTTS",0.820,0.920},</v>
      </c>
      <c r="P55">
        <v>51</v>
      </c>
    </row>
    <row r="56" spans="1:16" x14ac:dyDescent="0.2">
      <c r="A56" t="s">
        <v>51</v>
      </c>
      <c r="B56">
        <v>0.66</v>
      </c>
      <c r="C56">
        <v>0.76</v>
      </c>
      <c r="G56" s="1" t="s">
        <v>208</v>
      </c>
      <c r="H56">
        <v>0.86</v>
      </c>
      <c r="I56">
        <v>0.97</v>
      </c>
      <c r="K56" t="s">
        <v>47</v>
      </c>
      <c r="L56" s="3">
        <f t="shared" si="5"/>
        <v>0.55000000000000004</v>
      </c>
      <c r="M56" s="3">
        <f t="shared" si="6"/>
        <v>0.65</v>
      </c>
      <c r="O56" t="str">
        <f t="shared" si="0"/>
        <v xml:space="preserve">    {@"DG",0.550,0.650},</v>
      </c>
      <c r="P56">
        <v>52</v>
      </c>
    </row>
    <row r="57" spans="1:16" x14ac:dyDescent="0.2">
      <c r="A57" t="s">
        <v>52</v>
      </c>
      <c r="B57">
        <v>0.52</v>
      </c>
      <c r="C57">
        <v>0.62</v>
      </c>
      <c r="G57" s="1" t="s">
        <v>209</v>
      </c>
      <c r="H57">
        <v>0.83</v>
      </c>
      <c r="I57">
        <v>0.94</v>
      </c>
      <c r="K57" t="s">
        <v>48</v>
      </c>
      <c r="L57" s="3">
        <f t="shared" si="5"/>
        <v>0.55000000000000004</v>
      </c>
      <c r="M57" s="3">
        <f t="shared" si="6"/>
        <v>0.65</v>
      </c>
      <c r="O57" t="str">
        <f t="shared" si="0"/>
        <v xml:space="preserve">    {@"DK",0.550,0.650},</v>
      </c>
      <c r="P57">
        <v>53</v>
      </c>
    </row>
    <row r="58" spans="1:16" x14ac:dyDescent="0.2">
      <c r="A58" t="s">
        <v>53</v>
      </c>
      <c r="B58">
        <v>0.66</v>
      </c>
      <c r="C58">
        <v>0.76</v>
      </c>
      <c r="G58" s="1" t="s">
        <v>210</v>
      </c>
      <c r="H58">
        <v>0.71</v>
      </c>
      <c r="I58">
        <v>0.81</v>
      </c>
      <c r="K58" t="s">
        <v>49</v>
      </c>
      <c r="L58" s="3">
        <f t="shared" si="5"/>
        <v>0.69000000000000006</v>
      </c>
      <c r="M58" s="3">
        <f t="shared" si="6"/>
        <v>0.79</v>
      </c>
      <c r="O58" t="str">
        <f t="shared" si="0"/>
        <v xml:space="preserve">    {@"DKG",0.690,0.790},</v>
      </c>
      <c r="P58">
        <v>54</v>
      </c>
    </row>
    <row r="59" spans="1:16" x14ac:dyDescent="0.2">
      <c r="A59" t="s">
        <v>54</v>
      </c>
      <c r="B59">
        <v>0.62</v>
      </c>
      <c r="C59">
        <v>0.72</v>
      </c>
      <c r="K59" t="s">
        <v>50</v>
      </c>
      <c r="L59" s="3">
        <f t="shared" si="5"/>
        <v>0.52</v>
      </c>
      <c r="M59" s="3">
        <f t="shared" si="6"/>
        <v>0.62</v>
      </c>
      <c r="O59" t="str">
        <f t="shared" si="0"/>
        <v xml:space="preserve">    {@"DS",0.520,0.620},</v>
      </c>
      <c r="P59">
        <v>55</v>
      </c>
    </row>
    <row r="60" spans="1:16" x14ac:dyDescent="0.2">
      <c r="A60" t="s">
        <v>55</v>
      </c>
      <c r="B60">
        <v>0.76</v>
      </c>
      <c r="C60">
        <v>0.86</v>
      </c>
      <c r="G60" t="s">
        <v>0</v>
      </c>
      <c r="H60">
        <v>0</v>
      </c>
      <c r="I60">
        <v>0</v>
      </c>
      <c r="K60" t="s">
        <v>51</v>
      </c>
      <c r="L60" s="3">
        <f t="shared" si="5"/>
        <v>0.66</v>
      </c>
      <c r="M60" s="3">
        <f t="shared" si="6"/>
        <v>0.76</v>
      </c>
      <c r="O60" t="str">
        <f t="shared" si="0"/>
        <v xml:space="preserve">    {@"DSG",0.660,0.760},</v>
      </c>
      <c r="P60">
        <v>56</v>
      </c>
    </row>
    <row r="61" spans="1:16" x14ac:dyDescent="0.2">
      <c r="A61" t="s">
        <v>56</v>
      </c>
      <c r="B61">
        <v>0.62</v>
      </c>
      <c r="C61">
        <v>0.72</v>
      </c>
      <c r="G61">
        <v>3</v>
      </c>
      <c r="H61">
        <v>0.65</v>
      </c>
      <c r="I61">
        <v>0.75</v>
      </c>
      <c r="K61" t="s">
        <v>52</v>
      </c>
      <c r="L61" s="3">
        <f t="shared" si="5"/>
        <v>0.52</v>
      </c>
      <c r="M61" s="3">
        <f t="shared" si="6"/>
        <v>0.62</v>
      </c>
      <c r="O61" t="str">
        <f t="shared" si="0"/>
        <v xml:space="preserve">    {@"DT",0.520,0.620},</v>
      </c>
      <c r="P61">
        <v>57</v>
      </c>
    </row>
    <row r="62" spans="1:16" x14ac:dyDescent="0.2">
      <c r="A62" t="s">
        <v>57</v>
      </c>
      <c r="B62">
        <v>0.76</v>
      </c>
      <c r="C62">
        <v>0.86</v>
      </c>
      <c r="G62">
        <v>7</v>
      </c>
      <c r="H62">
        <v>0.85</v>
      </c>
      <c r="I62">
        <v>1</v>
      </c>
      <c r="K62" t="s">
        <v>53</v>
      </c>
      <c r="L62" s="3">
        <f t="shared" si="5"/>
        <v>0.66</v>
      </c>
      <c r="M62" s="3">
        <f t="shared" si="6"/>
        <v>0.76</v>
      </c>
      <c r="O62" t="str">
        <f t="shared" si="0"/>
        <v xml:space="preserve">    {@"DTG",0.660,0.760},</v>
      </c>
      <c r="P62">
        <v>58</v>
      </c>
    </row>
    <row r="63" spans="1:16" x14ac:dyDescent="0.2">
      <c r="A63" t="s">
        <v>58</v>
      </c>
      <c r="B63">
        <v>0.71</v>
      </c>
      <c r="C63">
        <v>0.80999999999999994</v>
      </c>
      <c r="G63" t="s">
        <v>2</v>
      </c>
      <c r="H63">
        <v>0.78</v>
      </c>
      <c r="I63">
        <v>0.9</v>
      </c>
      <c r="K63" t="s">
        <v>54</v>
      </c>
      <c r="L63" s="3">
        <f t="shared" si="5"/>
        <v>0.62</v>
      </c>
      <c r="M63" s="3">
        <f t="shared" si="6"/>
        <v>0.72</v>
      </c>
      <c r="O63" t="str">
        <f t="shared" si="0"/>
        <v xml:space="preserve">    {@"DTS",0.620,0.720},</v>
      </c>
      <c r="P63">
        <v>59</v>
      </c>
    </row>
    <row r="64" spans="1:16" x14ac:dyDescent="0.2">
      <c r="A64" t="s">
        <v>59</v>
      </c>
      <c r="B64">
        <v>0.85</v>
      </c>
      <c r="C64">
        <v>0.95</v>
      </c>
      <c r="G64" t="s">
        <v>1</v>
      </c>
      <c r="H64">
        <v>0.68</v>
      </c>
      <c r="I64">
        <v>0.78</v>
      </c>
      <c r="K64" t="s">
        <v>55</v>
      </c>
      <c r="L64" s="3">
        <f t="shared" si="5"/>
        <v>0.76</v>
      </c>
      <c r="M64" s="3">
        <f t="shared" si="6"/>
        <v>0.86</v>
      </c>
      <c r="O64" t="str">
        <f t="shared" si="0"/>
        <v xml:space="preserve">    {@"DTSG",0.760,0.860},</v>
      </c>
      <c r="P64">
        <v>60</v>
      </c>
    </row>
    <row r="65" spans="1:16" x14ac:dyDescent="0.2">
      <c r="A65" t="s">
        <v>60</v>
      </c>
      <c r="B65">
        <v>0.65</v>
      </c>
      <c r="C65">
        <v>0.75</v>
      </c>
      <c r="G65" s="1" t="s">
        <v>211</v>
      </c>
      <c r="H65">
        <v>0.81</v>
      </c>
      <c r="I65">
        <v>0.93</v>
      </c>
      <c r="K65" t="s">
        <v>56</v>
      </c>
      <c r="L65" s="3">
        <f t="shared" si="5"/>
        <v>0.62</v>
      </c>
      <c r="M65" s="3">
        <f t="shared" si="6"/>
        <v>0.72</v>
      </c>
      <c r="O65" t="str">
        <f t="shared" si="0"/>
        <v xml:space="preserve">    {@"DTT",0.620,0.720},</v>
      </c>
      <c r="P65">
        <v>61</v>
      </c>
    </row>
    <row r="66" spans="1:16" x14ac:dyDescent="0.2">
      <c r="A66" t="s">
        <v>61</v>
      </c>
      <c r="B66">
        <v>0.79</v>
      </c>
      <c r="C66">
        <v>0.89</v>
      </c>
      <c r="G66" s="1" t="s">
        <v>212</v>
      </c>
      <c r="H66">
        <v>0.71</v>
      </c>
      <c r="I66">
        <v>0.81</v>
      </c>
      <c r="K66" t="s">
        <v>57</v>
      </c>
      <c r="L66" s="3">
        <f t="shared" si="5"/>
        <v>0.76</v>
      </c>
      <c r="M66" s="3">
        <f t="shared" si="6"/>
        <v>0.86</v>
      </c>
      <c r="O66" t="str">
        <f t="shared" si="0"/>
        <v xml:space="preserve">    {@"DTTG",0.760,0.860},</v>
      </c>
      <c r="P66">
        <v>62</v>
      </c>
    </row>
    <row r="67" spans="1:16" x14ac:dyDescent="0.2">
      <c r="A67" t="s">
        <v>62</v>
      </c>
      <c r="B67">
        <v>0.41000000000000003</v>
      </c>
      <c r="C67">
        <v>0.51</v>
      </c>
      <c r="G67" s="1" t="s">
        <v>213</v>
      </c>
      <c r="H67">
        <v>0.74</v>
      </c>
      <c r="I67">
        <v>0.84</v>
      </c>
      <c r="K67" t="s">
        <v>58</v>
      </c>
      <c r="L67" s="3">
        <f t="shared" si="5"/>
        <v>0.71</v>
      </c>
      <c r="M67" s="3">
        <f t="shared" si="6"/>
        <v>0.80999999999999994</v>
      </c>
      <c r="O67" t="str">
        <f t="shared" ref="O67:O130" si="7">"    {@""" &amp;K67&amp;""","&amp;TEXT(L67,"0.000")&amp;","&amp;TEXT(M67,"0.000")&amp;"},"</f>
        <v xml:space="preserve">    {@"DTTS",0.710,0.810},</v>
      </c>
      <c r="P67">
        <v>63</v>
      </c>
    </row>
    <row r="68" spans="1:16" x14ac:dyDescent="0.2">
      <c r="A68" t="s">
        <v>63</v>
      </c>
      <c r="B68">
        <v>0.55000000000000004</v>
      </c>
      <c r="C68">
        <v>0.65</v>
      </c>
      <c r="G68" s="1" t="s">
        <v>214</v>
      </c>
      <c r="H68">
        <v>0.71</v>
      </c>
      <c r="I68">
        <v>0.81</v>
      </c>
      <c r="K68" t="s">
        <v>59</v>
      </c>
      <c r="L68" s="3">
        <f t="shared" ref="L68:L99" si="8">VLOOKUP(K68,$A$2:$C$193,2,FALSE)</f>
        <v>0.85</v>
      </c>
      <c r="M68" s="3">
        <f t="shared" ref="M68:M99" si="9">VLOOKUP(K68,$A$2:$C$193,3,FALSE)</f>
        <v>0.95</v>
      </c>
      <c r="O68" t="str">
        <f t="shared" si="7"/>
        <v xml:space="preserve">    {@"DTTSG",0.850,0.950},</v>
      </c>
      <c r="P68">
        <v>64</v>
      </c>
    </row>
    <row r="69" spans="1:16" x14ac:dyDescent="0.2">
      <c r="A69" t="s">
        <v>64</v>
      </c>
      <c r="B69">
        <v>0.68</v>
      </c>
      <c r="C69">
        <v>0.78</v>
      </c>
      <c r="G69" s="1" t="s">
        <v>215</v>
      </c>
      <c r="H69">
        <v>0.77</v>
      </c>
      <c r="I69">
        <v>0.87</v>
      </c>
      <c r="K69" t="s">
        <v>60</v>
      </c>
      <c r="L69" s="3">
        <f t="shared" si="8"/>
        <v>0.65</v>
      </c>
      <c r="M69" s="3">
        <f t="shared" si="9"/>
        <v>0.75</v>
      </c>
      <c r="O69" t="str">
        <f t="shared" si="7"/>
        <v xml:space="preserve">    {@"DXS",0.650,0.750},</v>
      </c>
      <c r="P69">
        <v>65</v>
      </c>
    </row>
    <row r="70" spans="1:16" x14ac:dyDescent="0.2">
      <c r="A70" t="s">
        <v>65</v>
      </c>
      <c r="B70">
        <v>0.55000000000000004</v>
      </c>
      <c r="C70">
        <v>0.65</v>
      </c>
      <c r="G70" t="s">
        <v>6</v>
      </c>
      <c r="H70">
        <v>0.98</v>
      </c>
      <c r="I70">
        <v>1.1499999999999999</v>
      </c>
      <c r="K70" t="s">
        <v>61</v>
      </c>
      <c r="L70" s="3">
        <f t="shared" si="8"/>
        <v>0.79</v>
      </c>
      <c r="M70" s="3">
        <f t="shared" si="9"/>
        <v>0.89</v>
      </c>
      <c r="O70" t="str">
        <f t="shared" si="7"/>
        <v xml:space="preserve">    {@"DXSG",0.790,0.890},</v>
      </c>
      <c r="P70">
        <v>66</v>
      </c>
    </row>
    <row r="71" spans="1:16" x14ac:dyDescent="0.2">
      <c r="A71" t="s">
        <v>66</v>
      </c>
      <c r="B71">
        <v>0.69000000000000006</v>
      </c>
      <c r="C71">
        <v>0.79</v>
      </c>
      <c r="G71" t="s">
        <v>5</v>
      </c>
      <c r="H71">
        <v>0.88</v>
      </c>
      <c r="I71">
        <v>1.03</v>
      </c>
      <c r="K71" t="s">
        <v>62</v>
      </c>
      <c r="L71" s="3">
        <f t="shared" si="8"/>
        <v>0.41000000000000003</v>
      </c>
      <c r="M71" s="3">
        <f t="shared" si="9"/>
        <v>0.51</v>
      </c>
      <c r="O71" t="str">
        <f t="shared" si="7"/>
        <v xml:space="preserve">    {@"K",0.410,0.510},</v>
      </c>
      <c r="P71">
        <v>67</v>
      </c>
    </row>
    <row r="72" spans="1:16" x14ac:dyDescent="0.2">
      <c r="A72" t="s">
        <v>67</v>
      </c>
      <c r="B72">
        <v>0.52</v>
      </c>
      <c r="C72">
        <v>0.62</v>
      </c>
      <c r="G72" s="1" t="s">
        <v>216</v>
      </c>
      <c r="H72">
        <v>1.01</v>
      </c>
      <c r="I72">
        <v>1.18</v>
      </c>
      <c r="K72" t="s">
        <v>63</v>
      </c>
      <c r="L72" s="3">
        <f t="shared" si="8"/>
        <v>0.55000000000000004</v>
      </c>
      <c r="M72" s="3">
        <f t="shared" si="9"/>
        <v>0.65</v>
      </c>
      <c r="O72" t="str">
        <f t="shared" si="7"/>
        <v xml:space="preserve">    {@"KD",0.550,0.650},</v>
      </c>
      <c r="P72">
        <v>68</v>
      </c>
    </row>
    <row r="73" spans="1:16" x14ac:dyDescent="0.2">
      <c r="A73" t="s">
        <v>68</v>
      </c>
      <c r="B73">
        <v>0.62</v>
      </c>
      <c r="C73">
        <v>0.72</v>
      </c>
      <c r="G73" s="1" t="s">
        <v>217</v>
      </c>
      <c r="H73">
        <v>0.91</v>
      </c>
      <c r="I73">
        <v>1.06</v>
      </c>
      <c r="K73" t="s">
        <v>64</v>
      </c>
      <c r="L73" s="3">
        <f t="shared" si="8"/>
        <v>0.68</v>
      </c>
      <c r="M73" s="3">
        <f t="shared" si="9"/>
        <v>0.78</v>
      </c>
      <c r="O73" t="str">
        <f t="shared" si="7"/>
        <v xml:space="preserve">    {@"KDD",0.680,0.780},</v>
      </c>
      <c r="P73">
        <v>69</v>
      </c>
    </row>
    <row r="74" spans="1:16" x14ac:dyDescent="0.2">
      <c r="A74" t="s">
        <v>69</v>
      </c>
      <c r="B74">
        <v>0.55000000000000004</v>
      </c>
      <c r="C74">
        <v>0.65</v>
      </c>
      <c r="G74" s="1" t="s">
        <v>218</v>
      </c>
      <c r="H74">
        <v>0.94</v>
      </c>
      <c r="I74">
        <v>1.0900000000000001</v>
      </c>
      <c r="K74" t="s">
        <v>65</v>
      </c>
      <c r="L74" s="3">
        <f t="shared" si="8"/>
        <v>0.55000000000000004</v>
      </c>
      <c r="M74" s="3">
        <f t="shared" si="9"/>
        <v>0.65</v>
      </c>
      <c r="O74" t="str">
        <f t="shared" si="7"/>
        <v xml:space="preserve">    {@"KM",0.550,0.650},</v>
      </c>
      <c r="P74">
        <v>70</v>
      </c>
    </row>
    <row r="75" spans="1:16" x14ac:dyDescent="0.2">
      <c r="A75" t="s">
        <v>70</v>
      </c>
      <c r="B75">
        <v>0.69000000000000006</v>
      </c>
      <c r="C75">
        <v>0.79</v>
      </c>
      <c r="G75" s="1" t="s">
        <v>219</v>
      </c>
      <c r="H75">
        <v>0.91</v>
      </c>
      <c r="I75">
        <v>1.06</v>
      </c>
      <c r="K75" t="s">
        <v>66</v>
      </c>
      <c r="L75" s="3">
        <f t="shared" si="8"/>
        <v>0.69000000000000006</v>
      </c>
      <c r="M75" s="3">
        <f t="shared" si="9"/>
        <v>0.79</v>
      </c>
      <c r="O75" t="str">
        <f t="shared" si="7"/>
        <v xml:space="preserve">    {@"KMG",0.690,0.790},</v>
      </c>
      <c r="P75">
        <v>71</v>
      </c>
    </row>
    <row r="76" spans="1:16" x14ac:dyDescent="0.2">
      <c r="A76" t="s">
        <v>71</v>
      </c>
      <c r="B76">
        <v>0.55000000000000004</v>
      </c>
      <c r="C76">
        <v>0.65</v>
      </c>
      <c r="G76" s="1" t="s">
        <v>220</v>
      </c>
      <c r="H76">
        <v>0.97</v>
      </c>
      <c r="I76">
        <v>1.1200000000000001</v>
      </c>
      <c r="K76" t="s">
        <v>67</v>
      </c>
      <c r="L76" s="3">
        <f t="shared" si="8"/>
        <v>0.52</v>
      </c>
      <c r="M76" s="3">
        <f t="shared" si="9"/>
        <v>0.62</v>
      </c>
      <c r="O76" t="str">
        <f t="shared" si="7"/>
        <v xml:space="preserve">    {@"KT",0.520,0.620},</v>
      </c>
      <c r="P76">
        <v>72</v>
      </c>
    </row>
    <row r="77" spans="1:16" x14ac:dyDescent="0.2">
      <c r="A77" t="s">
        <v>72</v>
      </c>
      <c r="B77">
        <v>0.69000000000000006</v>
      </c>
      <c r="C77">
        <v>0.79</v>
      </c>
      <c r="G77" t="s">
        <v>37</v>
      </c>
      <c r="H77">
        <v>0.41</v>
      </c>
      <c r="I77">
        <v>0.51</v>
      </c>
      <c r="K77" t="s">
        <v>68</v>
      </c>
      <c r="L77" s="3">
        <f t="shared" si="8"/>
        <v>0.62</v>
      </c>
      <c r="M77" s="3">
        <f t="shared" si="9"/>
        <v>0.72</v>
      </c>
      <c r="O77" t="str">
        <f t="shared" si="7"/>
        <v xml:space="preserve">    {@"KTT",0.620,0.720},</v>
      </c>
      <c r="P77">
        <v>73</v>
      </c>
    </row>
    <row r="78" spans="1:16" x14ac:dyDescent="0.2">
      <c r="A78" t="s">
        <v>73</v>
      </c>
      <c r="B78">
        <v>0.41000000000000003</v>
      </c>
      <c r="C78">
        <v>0.51</v>
      </c>
      <c r="G78" t="s">
        <v>38</v>
      </c>
      <c r="H78">
        <v>0.56000000000000005</v>
      </c>
      <c r="I78">
        <v>0.66</v>
      </c>
      <c r="K78" t="s">
        <v>69</v>
      </c>
      <c r="L78" s="3">
        <f t="shared" si="8"/>
        <v>0.55000000000000004</v>
      </c>
      <c r="M78" s="3">
        <f t="shared" si="9"/>
        <v>0.65</v>
      </c>
      <c r="O78" t="str">
        <f t="shared" si="7"/>
        <v xml:space="preserve">    {@"KX",0.550,0.650},</v>
      </c>
      <c r="P78">
        <v>74</v>
      </c>
    </row>
    <row r="79" spans="1:16" x14ac:dyDescent="0.2">
      <c r="A79" t="s">
        <v>74</v>
      </c>
      <c r="B79">
        <v>0.55000000000000004</v>
      </c>
      <c r="C79">
        <v>0.65</v>
      </c>
      <c r="G79" t="s">
        <v>39</v>
      </c>
      <c r="H79">
        <v>0.7</v>
      </c>
      <c r="I79">
        <v>0.8</v>
      </c>
      <c r="K79" t="s">
        <v>70</v>
      </c>
      <c r="L79" s="3">
        <f t="shared" si="8"/>
        <v>0.69000000000000006</v>
      </c>
      <c r="M79" s="3">
        <f t="shared" si="9"/>
        <v>0.79</v>
      </c>
      <c r="O79" t="str">
        <f t="shared" si="7"/>
        <v xml:space="preserve">    {@"KXG",0.690,0.790},</v>
      </c>
      <c r="P79">
        <v>75</v>
      </c>
    </row>
    <row r="80" spans="1:16" x14ac:dyDescent="0.2">
      <c r="A80" t="s">
        <v>75</v>
      </c>
      <c r="B80">
        <v>0.52</v>
      </c>
      <c r="C80">
        <v>0.62</v>
      </c>
      <c r="G80" t="s">
        <v>40</v>
      </c>
      <c r="H80">
        <v>0.83</v>
      </c>
      <c r="I80">
        <v>0.93</v>
      </c>
      <c r="K80" t="s">
        <v>71</v>
      </c>
      <c r="L80" s="3">
        <f t="shared" si="8"/>
        <v>0.55000000000000004</v>
      </c>
      <c r="M80" s="3">
        <f t="shared" si="9"/>
        <v>0.65</v>
      </c>
      <c r="O80" t="str">
        <f t="shared" si="7"/>
        <v xml:space="preserve">    {@"KY",0.550,0.650},</v>
      </c>
      <c r="P80">
        <v>76</v>
      </c>
    </row>
    <row r="81" spans="1:16" x14ac:dyDescent="0.2">
      <c r="A81" t="s">
        <v>76</v>
      </c>
      <c r="B81">
        <v>0.66</v>
      </c>
      <c r="C81">
        <v>0.76</v>
      </c>
      <c r="G81" t="s">
        <v>41</v>
      </c>
      <c r="H81">
        <v>0.69</v>
      </c>
      <c r="I81">
        <v>0.79</v>
      </c>
      <c r="K81" t="s">
        <v>72</v>
      </c>
      <c r="L81" s="3">
        <f t="shared" si="8"/>
        <v>0.69000000000000006</v>
      </c>
      <c r="M81" s="3">
        <f t="shared" si="9"/>
        <v>0.79</v>
      </c>
      <c r="O81" t="str">
        <f t="shared" si="7"/>
        <v xml:space="preserve">    {@"KYG",0.690,0.790},</v>
      </c>
      <c r="P81">
        <v>77</v>
      </c>
    </row>
    <row r="82" spans="1:16" x14ac:dyDescent="0.2">
      <c r="A82" t="s">
        <v>77</v>
      </c>
      <c r="B82">
        <v>0.38</v>
      </c>
      <c r="C82">
        <v>0.48</v>
      </c>
      <c r="G82" t="s">
        <v>42</v>
      </c>
      <c r="H82">
        <v>0.67</v>
      </c>
      <c r="I82">
        <v>0.77</v>
      </c>
      <c r="K82" t="s">
        <v>73</v>
      </c>
      <c r="L82" s="3">
        <f t="shared" si="8"/>
        <v>0.41000000000000003</v>
      </c>
      <c r="M82" s="3">
        <f t="shared" si="9"/>
        <v>0.51</v>
      </c>
      <c r="O82" t="str">
        <f t="shared" si="7"/>
        <v xml:space="preserve">    {@"M",0.410,0.510},</v>
      </c>
      <c r="P82">
        <v>78</v>
      </c>
    </row>
    <row r="83" spans="1:16" x14ac:dyDescent="0.2">
      <c r="A83" t="s">
        <v>78</v>
      </c>
      <c r="B83">
        <v>0.52</v>
      </c>
      <c r="C83">
        <v>0.62</v>
      </c>
      <c r="G83" t="s">
        <v>43</v>
      </c>
      <c r="H83">
        <v>0.67</v>
      </c>
      <c r="I83">
        <v>0.77</v>
      </c>
      <c r="K83" t="s">
        <v>74</v>
      </c>
      <c r="L83" s="3">
        <f t="shared" si="8"/>
        <v>0.55000000000000004</v>
      </c>
      <c r="M83" s="3">
        <f t="shared" si="9"/>
        <v>0.65</v>
      </c>
      <c r="O83" t="str">
        <f t="shared" si="7"/>
        <v xml:space="preserve">    {@"MG",0.550,0.650},</v>
      </c>
      <c r="P83">
        <v>79</v>
      </c>
    </row>
    <row r="84" spans="1:16" x14ac:dyDescent="0.2">
      <c r="A84" t="s">
        <v>79</v>
      </c>
      <c r="B84">
        <v>0.66</v>
      </c>
      <c r="C84">
        <v>0.76</v>
      </c>
      <c r="G84" t="s">
        <v>44</v>
      </c>
      <c r="H84">
        <v>0.75</v>
      </c>
      <c r="I84">
        <v>0.85</v>
      </c>
      <c r="K84" t="s">
        <v>75</v>
      </c>
      <c r="L84" s="3">
        <f t="shared" si="8"/>
        <v>0.52</v>
      </c>
      <c r="M84" s="3">
        <f t="shared" si="9"/>
        <v>0.62</v>
      </c>
      <c r="O84" t="str">
        <f t="shared" si="7"/>
        <v xml:space="preserve">    {@"MS",0.520,0.620},</v>
      </c>
      <c r="P84">
        <v>80</v>
      </c>
    </row>
    <row r="85" spans="1:16" x14ac:dyDescent="0.2">
      <c r="A85" t="s">
        <v>80</v>
      </c>
      <c r="B85">
        <v>0.52</v>
      </c>
      <c r="C85">
        <v>0.62</v>
      </c>
      <c r="G85" t="s">
        <v>45</v>
      </c>
      <c r="H85">
        <v>0.75</v>
      </c>
      <c r="I85">
        <v>0.85</v>
      </c>
      <c r="K85" t="s">
        <v>76</v>
      </c>
      <c r="L85" s="3">
        <f t="shared" si="8"/>
        <v>0.66</v>
      </c>
      <c r="M85" s="3">
        <f t="shared" si="9"/>
        <v>0.76</v>
      </c>
      <c r="O85" t="str">
        <f t="shared" si="7"/>
        <v xml:space="preserve">    {@"MSG",0.660,0.760},</v>
      </c>
      <c r="P85">
        <v>81</v>
      </c>
    </row>
    <row r="86" spans="1:16" x14ac:dyDescent="0.2">
      <c r="A86" t="s">
        <v>81</v>
      </c>
      <c r="B86">
        <v>0.52</v>
      </c>
      <c r="C86">
        <v>0.62</v>
      </c>
      <c r="G86" t="s">
        <v>46</v>
      </c>
      <c r="H86">
        <v>0.79</v>
      </c>
      <c r="I86">
        <v>0.89</v>
      </c>
      <c r="K86" t="s">
        <v>77</v>
      </c>
      <c r="L86" s="3">
        <f t="shared" si="8"/>
        <v>0.38</v>
      </c>
      <c r="M86" s="3">
        <f t="shared" si="9"/>
        <v>0.48</v>
      </c>
      <c r="O86" t="str">
        <f t="shared" si="7"/>
        <v xml:space="preserve">    {@"S",0.380,0.480},</v>
      </c>
      <c r="P86">
        <v>82</v>
      </c>
    </row>
    <row r="87" spans="1:16" x14ac:dyDescent="0.2">
      <c r="A87" t="s">
        <v>82</v>
      </c>
      <c r="B87">
        <v>0.49000000000000005</v>
      </c>
      <c r="C87">
        <v>0.59000000000000008</v>
      </c>
      <c r="G87" t="s">
        <v>47</v>
      </c>
      <c r="H87">
        <v>0.54</v>
      </c>
      <c r="I87">
        <v>0.64</v>
      </c>
      <c r="K87" t="s">
        <v>78</v>
      </c>
      <c r="L87" s="3">
        <f t="shared" si="8"/>
        <v>0.52</v>
      </c>
      <c r="M87" s="3">
        <f t="shared" si="9"/>
        <v>0.62</v>
      </c>
      <c r="O87" t="str">
        <f t="shared" si="7"/>
        <v xml:space="preserve">    {@"SD",0.520,0.620},</v>
      </c>
      <c r="P87">
        <v>83</v>
      </c>
    </row>
    <row r="88" spans="1:16" x14ac:dyDescent="0.2">
      <c r="A88" t="s">
        <v>83</v>
      </c>
      <c r="B88">
        <v>0.63</v>
      </c>
      <c r="C88">
        <v>0.73</v>
      </c>
      <c r="G88" t="s">
        <v>48</v>
      </c>
      <c r="H88">
        <v>0.56000000000000005</v>
      </c>
      <c r="I88">
        <v>0.66</v>
      </c>
      <c r="K88" t="s">
        <v>79</v>
      </c>
      <c r="L88" s="3">
        <f t="shared" si="8"/>
        <v>0.66</v>
      </c>
      <c r="M88" s="3">
        <f t="shared" si="9"/>
        <v>0.76</v>
      </c>
      <c r="O88" t="str">
        <f t="shared" si="7"/>
        <v xml:space="preserve">    {@"SDG",0.660,0.760},</v>
      </c>
      <c r="P88">
        <v>84</v>
      </c>
    </row>
    <row r="89" spans="1:16" x14ac:dyDescent="0.2">
      <c r="A89" t="s">
        <v>84</v>
      </c>
      <c r="B89">
        <v>0.59000000000000008</v>
      </c>
      <c r="C89">
        <v>0.69000000000000006</v>
      </c>
      <c r="G89" t="s">
        <v>49</v>
      </c>
      <c r="H89">
        <v>0.69</v>
      </c>
      <c r="I89">
        <v>0.79</v>
      </c>
      <c r="K89" t="s">
        <v>80</v>
      </c>
      <c r="L89" s="3">
        <f t="shared" si="8"/>
        <v>0.52</v>
      </c>
      <c r="M89" s="3">
        <f t="shared" si="9"/>
        <v>0.62</v>
      </c>
      <c r="O89" t="str">
        <f t="shared" si="7"/>
        <v xml:space="preserve">    {@"SG",0.520,0.620},</v>
      </c>
      <c r="P89">
        <v>85</v>
      </c>
    </row>
    <row r="90" spans="1:16" x14ac:dyDescent="0.2">
      <c r="A90" t="s">
        <v>85</v>
      </c>
      <c r="B90">
        <v>0.73</v>
      </c>
      <c r="C90">
        <v>0.83</v>
      </c>
      <c r="G90" s="1" t="s">
        <v>221</v>
      </c>
      <c r="H90">
        <v>0.89</v>
      </c>
      <c r="I90">
        <v>0.99</v>
      </c>
      <c r="K90" t="s">
        <v>81</v>
      </c>
      <c r="L90" s="3">
        <f t="shared" si="8"/>
        <v>0.52</v>
      </c>
      <c r="M90" s="3">
        <f t="shared" si="9"/>
        <v>0.62</v>
      </c>
      <c r="O90" t="str">
        <f t="shared" si="7"/>
        <v xml:space="preserve">    {@"SM",0.520,0.620},</v>
      </c>
      <c r="P90">
        <v>86</v>
      </c>
    </row>
    <row r="91" spans="1:16" x14ac:dyDescent="0.2">
      <c r="A91" t="s">
        <v>86</v>
      </c>
      <c r="B91">
        <v>0.49000000000000005</v>
      </c>
      <c r="C91">
        <v>0.59000000000000008</v>
      </c>
      <c r="G91" t="s">
        <v>50</v>
      </c>
      <c r="H91">
        <v>0.53</v>
      </c>
      <c r="I91">
        <v>0.63</v>
      </c>
      <c r="K91" t="s">
        <v>82</v>
      </c>
      <c r="L91" s="3">
        <f t="shared" si="8"/>
        <v>0.49000000000000005</v>
      </c>
      <c r="M91" s="3">
        <f t="shared" si="9"/>
        <v>0.59000000000000008</v>
      </c>
      <c r="O91" t="str">
        <f t="shared" si="7"/>
        <v xml:space="preserve">    {@"SS",0.490,0.590},</v>
      </c>
      <c r="P91">
        <v>87</v>
      </c>
    </row>
    <row r="92" spans="1:16" x14ac:dyDescent="0.2">
      <c r="A92" t="s">
        <v>87</v>
      </c>
      <c r="B92">
        <v>0.63</v>
      </c>
      <c r="C92">
        <v>0.73</v>
      </c>
      <c r="G92" t="s">
        <v>51</v>
      </c>
      <c r="H92">
        <v>0.66</v>
      </c>
      <c r="I92">
        <v>0.76</v>
      </c>
      <c r="K92" t="s">
        <v>83</v>
      </c>
      <c r="L92" s="3">
        <f t="shared" si="8"/>
        <v>0.63</v>
      </c>
      <c r="M92" s="3">
        <f t="shared" si="9"/>
        <v>0.73</v>
      </c>
      <c r="O92" t="str">
        <f t="shared" si="7"/>
        <v xml:space="preserve">    {@"SSG",0.630,0.730},</v>
      </c>
      <c r="P92">
        <v>88</v>
      </c>
    </row>
    <row r="93" spans="1:16" x14ac:dyDescent="0.2">
      <c r="A93" t="s">
        <v>88</v>
      </c>
      <c r="B93">
        <v>0.62</v>
      </c>
      <c r="C93">
        <v>0.72</v>
      </c>
      <c r="G93" t="s">
        <v>52</v>
      </c>
      <c r="H93">
        <v>0.53</v>
      </c>
      <c r="I93">
        <v>0.63</v>
      </c>
      <c r="K93" t="s">
        <v>84</v>
      </c>
      <c r="L93" s="3">
        <f t="shared" si="8"/>
        <v>0.59000000000000008</v>
      </c>
      <c r="M93" s="3">
        <f t="shared" si="9"/>
        <v>0.69000000000000006</v>
      </c>
      <c r="O93" t="str">
        <f t="shared" si="7"/>
        <v xml:space="preserve">    {@"SSS",0.590,0.690},</v>
      </c>
      <c r="P93">
        <v>89</v>
      </c>
    </row>
    <row r="94" spans="1:16" x14ac:dyDescent="0.2">
      <c r="A94" t="s">
        <v>89</v>
      </c>
      <c r="B94">
        <v>0.76</v>
      </c>
      <c r="C94">
        <v>0.86</v>
      </c>
      <c r="G94" t="s">
        <v>53</v>
      </c>
      <c r="H94">
        <v>0.66</v>
      </c>
      <c r="I94">
        <v>0.76</v>
      </c>
      <c r="K94" t="s">
        <v>85</v>
      </c>
      <c r="L94" s="3">
        <f t="shared" si="8"/>
        <v>0.73</v>
      </c>
      <c r="M94" s="3">
        <f t="shared" si="9"/>
        <v>0.83</v>
      </c>
      <c r="O94" t="str">
        <f t="shared" si="7"/>
        <v xml:space="preserve">    {@"SSSG",0.730,0.830},</v>
      </c>
      <c r="P94">
        <v>90</v>
      </c>
    </row>
    <row r="95" spans="1:16" x14ac:dyDescent="0.2">
      <c r="A95" t="s">
        <v>90</v>
      </c>
      <c r="B95">
        <v>0.59000000000000008</v>
      </c>
      <c r="C95">
        <v>0.69000000000000006</v>
      </c>
      <c r="G95" t="s">
        <v>54</v>
      </c>
      <c r="H95">
        <v>0.64</v>
      </c>
      <c r="I95">
        <v>0.74</v>
      </c>
      <c r="K95" t="s">
        <v>86</v>
      </c>
      <c r="L95" s="3">
        <f t="shared" si="8"/>
        <v>0.49000000000000005</v>
      </c>
      <c r="M95" s="3">
        <f t="shared" si="9"/>
        <v>0.59000000000000008</v>
      </c>
      <c r="O95" t="str">
        <f t="shared" si="7"/>
        <v xml:space="preserve">    {@"ST",0.490,0.590},</v>
      </c>
      <c r="P95">
        <v>91</v>
      </c>
    </row>
    <row r="96" spans="1:16" x14ac:dyDescent="0.2">
      <c r="A96" t="s">
        <v>91</v>
      </c>
      <c r="B96">
        <v>0.73</v>
      </c>
      <c r="C96">
        <v>0.83</v>
      </c>
      <c r="G96" t="s">
        <v>55</v>
      </c>
      <c r="H96">
        <v>0.77</v>
      </c>
      <c r="I96">
        <v>0.87</v>
      </c>
      <c r="K96" t="s">
        <v>87</v>
      </c>
      <c r="L96" s="3">
        <f t="shared" si="8"/>
        <v>0.63</v>
      </c>
      <c r="M96" s="3">
        <f t="shared" si="9"/>
        <v>0.73</v>
      </c>
      <c r="O96" t="str">
        <f t="shared" si="7"/>
        <v xml:space="preserve">    {@"STG",0.630,0.730},</v>
      </c>
      <c r="P96">
        <v>92</v>
      </c>
    </row>
    <row r="97" spans="1:16" x14ac:dyDescent="0.2">
      <c r="A97" t="s">
        <v>92</v>
      </c>
      <c r="B97">
        <v>0.59000000000000008</v>
      </c>
      <c r="C97">
        <v>0.69000000000000006</v>
      </c>
      <c r="G97" t="s">
        <v>56</v>
      </c>
      <c r="H97">
        <v>0.64</v>
      </c>
      <c r="I97">
        <v>0.74</v>
      </c>
      <c r="K97" t="s">
        <v>88</v>
      </c>
      <c r="L97" s="3">
        <f t="shared" si="8"/>
        <v>0.62</v>
      </c>
      <c r="M97" s="3">
        <f t="shared" si="9"/>
        <v>0.72</v>
      </c>
      <c r="O97" t="str">
        <f t="shared" si="7"/>
        <v xml:space="preserve">    {@"STK",0.620,0.720},</v>
      </c>
      <c r="P97">
        <v>93</v>
      </c>
    </row>
    <row r="98" spans="1:16" x14ac:dyDescent="0.2">
      <c r="A98" t="s">
        <v>93</v>
      </c>
      <c r="B98">
        <v>0.73</v>
      </c>
      <c r="C98">
        <v>0.83</v>
      </c>
      <c r="G98" t="s">
        <v>57</v>
      </c>
      <c r="H98">
        <v>0.77</v>
      </c>
      <c r="I98">
        <v>0.87</v>
      </c>
      <c r="K98" t="s">
        <v>89</v>
      </c>
      <c r="L98" s="3">
        <f t="shared" si="8"/>
        <v>0.76</v>
      </c>
      <c r="M98" s="3">
        <f t="shared" si="9"/>
        <v>0.86</v>
      </c>
      <c r="O98" t="str">
        <f t="shared" si="7"/>
        <v xml:space="preserve">    {@"STKG",0.760,0.860},</v>
      </c>
      <c r="P98">
        <v>94</v>
      </c>
    </row>
    <row r="99" spans="1:16" x14ac:dyDescent="0.2">
      <c r="A99" t="s">
        <v>94</v>
      </c>
      <c r="B99">
        <v>0.71</v>
      </c>
      <c r="C99">
        <v>0.80999999999999994</v>
      </c>
      <c r="G99" t="s">
        <v>58</v>
      </c>
      <c r="H99">
        <v>0.72</v>
      </c>
      <c r="I99">
        <v>0.82</v>
      </c>
      <c r="K99" t="s">
        <v>90</v>
      </c>
      <c r="L99" s="3">
        <f t="shared" si="8"/>
        <v>0.59000000000000008</v>
      </c>
      <c r="M99" s="3">
        <f t="shared" si="9"/>
        <v>0.69000000000000006</v>
      </c>
      <c r="O99" t="str">
        <f t="shared" si="7"/>
        <v xml:space="preserve">    {@"STS",0.590,0.690},</v>
      </c>
      <c r="P99">
        <v>95</v>
      </c>
    </row>
    <row r="100" spans="1:16" x14ac:dyDescent="0.2">
      <c r="A100" t="s">
        <v>95</v>
      </c>
      <c r="B100">
        <v>0.85000000000000009</v>
      </c>
      <c r="C100">
        <v>0.95000000000000007</v>
      </c>
      <c r="G100" t="s">
        <v>59</v>
      </c>
      <c r="H100">
        <v>0.85</v>
      </c>
      <c r="I100">
        <v>0.95</v>
      </c>
      <c r="K100" t="s">
        <v>91</v>
      </c>
      <c r="L100" s="3">
        <f t="shared" ref="L100:L131" si="10">VLOOKUP(K100,$A$2:$C$193,2,FALSE)</f>
        <v>0.73</v>
      </c>
      <c r="M100" s="3">
        <f t="shared" ref="M100:M131" si="11">VLOOKUP(K100,$A$2:$C$193,3,FALSE)</f>
        <v>0.83</v>
      </c>
      <c r="O100" t="str">
        <f t="shared" si="7"/>
        <v xml:space="preserve">    {@"STSG",0.730,0.830},</v>
      </c>
      <c r="P100">
        <v>96</v>
      </c>
    </row>
    <row r="101" spans="1:16" x14ac:dyDescent="0.2">
      <c r="A101" t="s">
        <v>96</v>
      </c>
      <c r="B101">
        <v>0.68</v>
      </c>
      <c r="C101">
        <v>0.78</v>
      </c>
      <c r="G101" t="s">
        <v>60</v>
      </c>
      <c r="H101">
        <v>0.67</v>
      </c>
      <c r="I101">
        <v>0.77</v>
      </c>
      <c r="K101" t="s">
        <v>92</v>
      </c>
      <c r="L101" s="3">
        <f t="shared" si="10"/>
        <v>0.59000000000000008</v>
      </c>
      <c r="M101" s="3">
        <f t="shared" si="11"/>
        <v>0.69000000000000006</v>
      </c>
      <c r="O101" t="str">
        <f t="shared" si="7"/>
        <v xml:space="preserve">    {@"STT",0.590,0.690},</v>
      </c>
      <c r="P101">
        <v>97</v>
      </c>
    </row>
    <row r="102" spans="1:16" x14ac:dyDescent="0.2">
      <c r="A102" t="s">
        <v>97</v>
      </c>
      <c r="B102">
        <v>0.82000000000000006</v>
      </c>
      <c r="C102">
        <v>0.92</v>
      </c>
      <c r="G102" t="s">
        <v>61</v>
      </c>
      <c r="H102">
        <v>0.8</v>
      </c>
      <c r="I102">
        <v>0.9</v>
      </c>
      <c r="K102" t="s">
        <v>93</v>
      </c>
      <c r="L102" s="3">
        <f t="shared" si="10"/>
        <v>0.73</v>
      </c>
      <c r="M102" s="3">
        <f t="shared" si="11"/>
        <v>0.83</v>
      </c>
      <c r="O102" t="str">
        <f t="shared" si="7"/>
        <v xml:space="preserve">    {@"STTG",0.730,0.830},</v>
      </c>
      <c r="P102">
        <v>98</v>
      </c>
    </row>
    <row r="103" spans="1:16" x14ac:dyDescent="0.2">
      <c r="A103" t="s">
        <v>98</v>
      </c>
      <c r="B103">
        <v>0.71</v>
      </c>
      <c r="C103">
        <v>0.80999999999999994</v>
      </c>
      <c r="G103" t="s">
        <v>62</v>
      </c>
      <c r="H103">
        <v>0.41</v>
      </c>
      <c r="I103">
        <v>0.51</v>
      </c>
      <c r="K103" t="s">
        <v>94</v>
      </c>
      <c r="L103" s="3">
        <f t="shared" si="10"/>
        <v>0.71</v>
      </c>
      <c r="M103" s="3">
        <f t="shared" si="11"/>
        <v>0.80999999999999994</v>
      </c>
      <c r="O103" t="str">
        <f t="shared" si="7"/>
        <v xml:space="preserve">    {@"STTK",0.710,0.810},</v>
      </c>
      <c r="P103">
        <v>99</v>
      </c>
    </row>
    <row r="104" spans="1:16" x14ac:dyDescent="0.2">
      <c r="A104" t="s">
        <v>99</v>
      </c>
      <c r="B104">
        <v>0.85000000000000009</v>
      </c>
      <c r="C104">
        <v>0.95000000000000007</v>
      </c>
      <c r="G104" t="s">
        <v>63</v>
      </c>
      <c r="H104">
        <v>0.56000000000000005</v>
      </c>
      <c r="I104">
        <v>0.66</v>
      </c>
      <c r="K104" t="s">
        <v>95</v>
      </c>
      <c r="L104" s="3">
        <f t="shared" si="10"/>
        <v>0.85000000000000009</v>
      </c>
      <c r="M104" s="3">
        <f t="shared" si="11"/>
        <v>0.95000000000000007</v>
      </c>
      <c r="O104" t="str">
        <f t="shared" si="7"/>
        <v xml:space="preserve">    {@"STTKG",0.850,0.950},</v>
      </c>
      <c r="P104">
        <v>100</v>
      </c>
    </row>
    <row r="105" spans="1:16" x14ac:dyDescent="0.2">
      <c r="A105" t="s">
        <v>100</v>
      </c>
      <c r="B105">
        <v>0.71</v>
      </c>
      <c r="C105">
        <v>0.80999999999999994</v>
      </c>
      <c r="G105" t="s">
        <v>64</v>
      </c>
      <c r="H105">
        <v>0.7</v>
      </c>
      <c r="I105">
        <v>0.8</v>
      </c>
      <c r="K105" t="s">
        <v>96</v>
      </c>
      <c r="L105" s="3">
        <f t="shared" si="10"/>
        <v>0.68</v>
      </c>
      <c r="M105" s="3">
        <f t="shared" si="11"/>
        <v>0.78</v>
      </c>
      <c r="O105" t="str">
        <f t="shared" si="7"/>
        <v xml:space="preserve">    {@"STTS",0.680,0.780},</v>
      </c>
      <c r="P105">
        <v>101</v>
      </c>
    </row>
    <row r="106" spans="1:16" x14ac:dyDescent="0.2">
      <c r="A106" t="s">
        <v>101</v>
      </c>
      <c r="B106">
        <v>0.85000000000000009</v>
      </c>
      <c r="C106">
        <v>0.95000000000000007</v>
      </c>
      <c r="G106" t="s">
        <v>65</v>
      </c>
      <c r="H106">
        <v>0.56000000000000005</v>
      </c>
      <c r="I106">
        <v>0.66</v>
      </c>
      <c r="K106" t="s">
        <v>97</v>
      </c>
      <c r="L106" s="3">
        <f t="shared" si="10"/>
        <v>0.82000000000000006</v>
      </c>
      <c r="M106" s="3">
        <f t="shared" si="11"/>
        <v>0.92</v>
      </c>
      <c r="O106" t="str">
        <f t="shared" si="7"/>
        <v xml:space="preserve">    {@"STTSG",0.820,0.920},</v>
      </c>
      <c r="P106">
        <v>102</v>
      </c>
    </row>
    <row r="107" spans="1:16" x14ac:dyDescent="0.2">
      <c r="A107" t="s">
        <v>102</v>
      </c>
      <c r="B107">
        <v>0.62</v>
      </c>
      <c r="C107">
        <v>0.72</v>
      </c>
      <c r="G107" t="s">
        <v>66</v>
      </c>
      <c r="H107">
        <v>0.69</v>
      </c>
      <c r="I107">
        <v>0.79</v>
      </c>
      <c r="K107" t="s">
        <v>98</v>
      </c>
      <c r="L107" s="3">
        <f t="shared" si="10"/>
        <v>0.71</v>
      </c>
      <c r="M107" s="3">
        <f t="shared" si="11"/>
        <v>0.80999999999999994</v>
      </c>
      <c r="O107" t="str">
        <f t="shared" si="7"/>
        <v xml:space="preserve">    {@"STTX",0.710,0.810},</v>
      </c>
      <c r="P107">
        <v>103</v>
      </c>
    </row>
    <row r="108" spans="1:16" x14ac:dyDescent="0.2">
      <c r="A108" t="s">
        <v>103</v>
      </c>
      <c r="B108">
        <v>0.76</v>
      </c>
      <c r="C108">
        <v>0.86</v>
      </c>
      <c r="G108" t="s">
        <v>67</v>
      </c>
      <c r="H108">
        <v>0.53</v>
      </c>
      <c r="I108">
        <v>0.63</v>
      </c>
      <c r="K108" t="s">
        <v>99</v>
      </c>
      <c r="L108" s="3">
        <f t="shared" si="10"/>
        <v>0.85000000000000009</v>
      </c>
      <c r="M108" s="3">
        <f t="shared" si="11"/>
        <v>0.95000000000000007</v>
      </c>
      <c r="O108" t="str">
        <f t="shared" si="7"/>
        <v xml:space="preserve">    {@"STTXG",0.850,0.950},</v>
      </c>
      <c r="P108">
        <v>104</v>
      </c>
    </row>
    <row r="109" spans="1:16" x14ac:dyDescent="0.2">
      <c r="A109" t="s">
        <v>104</v>
      </c>
      <c r="B109">
        <v>0.62</v>
      </c>
      <c r="C109">
        <v>0.72</v>
      </c>
      <c r="G109" t="s">
        <v>68</v>
      </c>
      <c r="H109">
        <v>0.64</v>
      </c>
      <c r="I109">
        <v>0.74</v>
      </c>
      <c r="K109" t="s">
        <v>100</v>
      </c>
      <c r="L109" s="3">
        <f t="shared" si="10"/>
        <v>0.71</v>
      </c>
      <c r="M109" s="3">
        <f t="shared" si="11"/>
        <v>0.80999999999999994</v>
      </c>
      <c r="O109" t="str">
        <f t="shared" si="7"/>
        <v xml:space="preserve">    {@"STTY",0.710,0.810},</v>
      </c>
      <c r="P109">
        <v>105</v>
      </c>
    </row>
    <row r="110" spans="1:16" x14ac:dyDescent="0.2">
      <c r="A110" t="s">
        <v>105</v>
      </c>
      <c r="B110">
        <v>0.76</v>
      </c>
      <c r="C110">
        <v>0.86</v>
      </c>
      <c r="G110" t="s">
        <v>69</v>
      </c>
      <c r="H110">
        <v>0.56000000000000005</v>
      </c>
      <c r="I110">
        <v>0.66</v>
      </c>
      <c r="K110" t="s">
        <v>101</v>
      </c>
      <c r="L110" s="3">
        <f t="shared" si="10"/>
        <v>0.85000000000000009</v>
      </c>
      <c r="M110" s="3">
        <f t="shared" si="11"/>
        <v>0.95000000000000007</v>
      </c>
      <c r="O110" t="str">
        <f t="shared" si="7"/>
        <v xml:space="preserve">    {@"STTYG",0.850,0.950},</v>
      </c>
      <c r="P110">
        <v>106</v>
      </c>
    </row>
    <row r="111" spans="1:16" x14ac:dyDescent="0.2">
      <c r="A111" t="s">
        <v>106</v>
      </c>
      <c r="B111">
        <v>0.52</v>
      </c>
      <c r="C111">
        <v>0.62</v>
      </c>
      <c r="G111" t="s">
        <v>70</v>
      </c>
      <c r="H111">
        <v>0.69</v>
      </c>
      <c r="I111">
        <v>0.79</v>
      </c>
      <c r="K111" t="s">
        <v>102</v>
      </c>
      <c r="L111" s="3">
        <f t="shared" si="10"/>
        <v>0.62</v>
      </c>
      <c r="M111" s="3">
        <f t="shared" si="11"/>
        <v>0.72</v>
      </c>
      <c r="O111" t="str">
        <f t="shared" si="7"/>
        <v xml:space="preserve">    {@"STX",0.620,0.720},</v>
      </c>
      <c r="P111">
        <v>107</v>
      </c>
    </row>
    <row r="112" spans="1:16" x14ac:dyDescent="0.2">
      <c r="A112" t="s">
        <v>107</v>
      </c>
      <c r="B112">
        <v>0.66</v>
      </c>
      <c r="C112">
        <v>0.76</v>
      </c>
      <c r="G112" t="s">
        <v>71</v>
      </c>
      <c r="H112">
        <v>0.56000000000000005</v>
      </c>
      <c r="I112">
        <v>0.66</v>
      </c>
      <c r="K112" t="s">
        <v>103</v>
      </c>
      <c r="L112" s="3">
        <f t="shared" si="10"/>
        <v>0.76</v>
      </c>
      <c r="M112" s="3">
        <f t="shared" si="11"/>
        <v>0.86</v>
      </c>
      <c r="O112" t="str">
        <f t="shared" si="7"/>
        <v xml:space="preserve">    {@"STXG",0.760,0.860},</v>
      </c>
      <c r="P112">
        <v>108</v>
      </c>
    </row>
    <row r="113" spans="1:16" x14ac:dyDescent="0.2">
      <c r="A113" t="s">
        <v>108</v>
      </c>
      <c r="B113">
        <v>0.62</v>
      </c>
      <c r="C113">
        <v>0.72</v>
      </c>
      <c r="G113" t="s">
        <v>72</v>
      </c>
      <c r="H113">
        <v>0.69</v>
      </c>
      <c r="I113">
        <v>0.79</v>
      </c>
      <c r="K113" t="s">
        <v>104</v>
      </c>
      <c r="L113" s="3">
        <f t="shared" si="10"/>
        <v>0.62</v>
      </c>
      <c r="M113" s="3">
        <f t="shared" si="11"/>
        <v>0.72</v>
      </c>
      <c r="O113" t="str">
        <f t="shared" si="7"/>
        <v xml:space="preserve">    {@"STY",0.620,0.720},</v>
      </c>
      <c r="P113">
        <v>109</v>
      </c>
    </row>
    <row r="114" spans="1:16" x14ac:dyDescent="0.2">
      <c r="A114" t="s">
        <v>109</v>
      </c>
      <c r="B114">
        <v>0.76</v>
      </c>
      <c r="C114">
        <v>0.86</v>
      </c>
      <c r="G114" t="s">
        <v>73</v>
      </c>
      <c r="H114">
        <v>0.41</v>
      </c>
      <c r="I114">
        <v>0.51</v>
      </c>
      <c r="K114" t="s">
        <v>105</v>
      </c>
      <c r="L114" s="3">
        <f t="shared" si="10"/>
        <v>0.76</v>
      </c>
      <c r="M114" s="3">
        <f t="shared" si="11"/>
        <v>0.86</v>
      </c>
      <c r="O114" t="str">
        <f t="shared" si="7"/>
        <v xml:space="preserve">    {@"STYG",0.760,0.860},</v>
      </c>
      <c r="P114">
        <v>110</v>
      </c>
    </row>
    <row r="115" spans="1:16" x14ac:dyDescent="0.2">
      <c r="A115" t="s">
        <v>110</v>
      </c>
      <c r="B115">
        <v>0.82</v>
      </c>
      <c r="C115">
        <v>0.91999999999999993</v>
      </c>
      <c r="G115" t="s">
        <v>74</v>
      </c>
      <c r="H115">
        <v>0.54</v>
      </c>
      <c r="I115">
        <v>0.64</v>
      </c>
      <c r="K115" t="s">
        <v>106</v>
      </c>
      <c r="L115" s="3">
        <f t="shared" si="10"/>
        <v>0.52</v>
      </c>
      <c r="M115" s="3">
        <f t="shared" si="11"/>
        <v>0.62</v>
      </c>
      <c r="O115" t="str">
        <f t="shared" si="7"/>
        <v xml:space="preserve">    {@"SX",0.520,0.620},</v>
      </c>
      <c r="P115">
        <v>111</v>
      </c>
    </row>
    <row r="116" spans="1:16" x14ac:dyDescent="0.2">
      <c r="A116" t="s">
        <v>111</v>
      </c>
      <c r="B116">
        <v>0.52</v>
      </c>
      <c r="C116">
        <v>0.62</v>
      </c>
      <c r="G116" t="s">
        <v>75</v>
      </c>
      <c r="H116">
        <v>0.53</v>
      </c>
      <c r="I116">
        <v>0.63</v>
      </c>
      <c r="K116" t="s">
        <v>107</v>
      </c>
      <c r="L116" s="3">
        <f t="shared" si="10"/>
        <v>0.66</v>
      </c>
      <c r="M116" s="3">
        <f t="shared" si="11"/>
        <v>0.76</v>
      </c>
      <c r="O116" t="str">
        <f t="shared" si="7"/>
        <v xml:space="preserve">    {@"SXG",0.660,0.760},</v>
      </c>
      <c r="P116">
        <v>112</v>
      </c>
    </row>
    <row r="117" spans="1:16" x14ac:dyDescent="0.2">
      <c r="A117" t="s">
        <v>112</v>
      </c>
      <c r="B117">
        <v>0.66</v>
      </c>
      <c r="C117">
        <v>0.76</v>
      </c>
      <c r="G117" t="s">
        <v>76</v>
      </c>
      <c r="H117">
        <v>0.66</v>
      </c>
      <c r="I117">
        <v>0.76</v>
      </c>
      <c r="K117" t="s">
        <v>108</v>
      </c>
      <c r="L117" s="3">
        <f t="shared" si="10"/>
        <v>0.62</v>
      </c>
      <c r="M117" s="3">
        <f t="shared" si="11"/>
        <v>0.72</v>
      </c>
      <c r="O117" t="str">
        <f t="shared" si="7"/>
        <v xml:space="preserve">    {@"SXS",0.620,0.720},</v>
      </c>
      <c r="P117">
        <v>113</v>
      </c>
    </row>
    <row r="118" spans="1:16" x14ac:dyDescent="0.2">
      <c r="A118" t="s">
        <v>113</v>
      </c>
      <c r="B118">
        <v>0.62</v>
      </c>
      <c r="C118">
        <v>0.72</v>
      </c>
      <c r="G118" t="s">
        <v>77</v>
      </c>
      <c r="H118">
        <v>0.38</v>
      </c>
      <c r="I118">
        <v>0.48</v>
      </c>
      <c r="K118" t="s">
        <v>109</v>
      </c>
      <c r="L118" s="3">
        <f t="shared" si="10"/>
        <v>0.76</v>
      </c>
      <c r="M118" s="3">
        <f t="shared" si="11"/>
        <v>0.86</v>
      </c>
      <c r="O118" t="str">
        <f t="shared" si="7"/>
        <v xml:space="preserve">    {@"SXSG",0.760,0.860},</v>
      </c>
      <c r="P118">
        <v>114</v>
      </c>
    </row>
    <row r="119" spans="1:16" x14ac:dyDescent="0.2">
      <c r="A119" t="s">
        <v>114</v>
      </c>
      <c r="B119">
        <v>0.76</v>
      </c>
      <c r="C119">
        <v>0.86</v>
      </c>
      <c r="G119" t="s">
        <v>78</v>
      </c>
      <c r="H119">
        <v>0.53</v>
      </c>
      <c r="I119">
        <v>0.63</v>
      </c>
      <c r="K119" t="s">
        <v>110</v>
      </c>
      <c r="L119" s="3">
        <f t="shared" si="10"/>
        <v>0.82</v>
      </c>
      <c r="M119" s="3">
        <f t="shared" si="11"/>
        <v>0.91999999999999993</v>
      </c>
      <c r="O119" t="str">
        <f t="shared" si="7"/>
        <v xml:space="preserve">    {@"SXSXS",0.820,0.920},</v>
      </c>
      <c r="P119">
        <v>115</v>
      </c>
    </row>
    <row r="120" spans="1:16" x14ac:dyDescent="0.2">
      <c r="A120" t="s">
        <v>115</v>
      </c>
      <c r="B120">
        <v>0.51</v>
      </c>
      <c r="C120">
        <v>0.61</v>
      </c>
      <c r="G120" t="s">
        <v>79</v>
      </c>
      <c r="H120">
        <v>0.66</v>
      </c>
      <c r="I120">
        <v>0.76</v>
      </c>
      <c r="K120" t="s">
        <v>111</v>
      </c>
      <c r="L120" s="3">
        <f t="shared" si="10"/>
        <v>0.52</v>
      </c>
      <c r="M120" s="3">
        <f t="shared" si="11"/>
        <v>0.62</v>
      </c>
      <c r="O120" t="str">
        <f t="shared" si="7"/>
        <v xml:space="preserve">    {@"SY",0.520,0.620},</v>
      </c>
      <c r="P120">
        <v>116</v>
      </c>
    </row>
    <row r="121" spans="1:16" x14ac:dyDescent="0.2">
      <c r="A121" t="s">
        <v>116</v>
      </c>
      <c r="B121">
        <v>0.65</v>
      </c>
      <c r="C121">
        <v>0.75</v>
      </c>
      <c r="G121" t="s">
        <v>80</v>
      </c>
      <c r="H121">
        <v>0.51</v>
      </c>
      <c r="I121">
        <v>0.61</v>
      </c>
      <c r="K121" t="s">
        <v>112</v>
      </c>
      <c r="L121" s="3">
        <f t="shared" si="10"/>
        <v>0.66</v>
      </c>
      <c r="M121" s="3">
        <f t="shared" si="11"/>
        <v>0.76</v>
      </c>
      <c r="O121" t="str">
        <f t="shared" si="7"/>
        <v xml:space="preserve">    {@"SYG",0.660,0.760},</v>
      </c>
      <c r="P121">
        <v>117</v>
      </c>
    </row>
    <row r="122" spans="1:16" x14ac:dyDescent="0.2">
      <c r="A122" t="s">
        <v>117</v>
      </c>
      <c r="B122">
        <v>0.38</v>
      </c>
      <c r="C122">
        <v>0.48</v>
      </c>
      <c r="G122" t="s">
        <v>81</v>
      </c>
      <c r="H122">
        <v>0.53</v>
      </c>
      <c r="I122">
        <v>0.63</v>
      </c>
      <c r="K122" t="s">
        <v>113</v>
      </c>
      <c r="L122" s="3">
        <f t="shared" si="10"/>
        <v>0.62</v>
      </c>
      <c r="M122" s="3">
        <f t="shared" si="11"/>
        <v>0.72</v>
      </c>
      <c r="O122" t="str">
        <f t="shared" si="7"/>
        <v xml:space="preserve">    {@"SYS",0.620,0.720},</v>
      </c>
      <c r="P122">
        <v>118</v>
      </c>
    </row>
    <row r="123" spans="1:16" x14ac:dyDescent="0.2">
      <c r="A123" t="s">
        <v>118</v>
      </c>
      <c r="B123">
        <v>0.52</v>
      </c>
      <c r="C123">
        <v>0.62</v>
      </c>
      <c r="G123" t="s">
        <v>82</v>
      </c>
      <c r="H123">
        <v>0.5</v>
      </c>
      <c r="I123">
        <v>0.6</v>
      </c>
      <c r="K123" t="s">
        <v>114</v>
      </c>
      <c r="L123" s="3">
        <f t="shared" si="10"/>
        <v>0.76</v>
      </c>
      <c r="M123" s="3">
        <f t="shared" si="11"/>
        <v>0.86</v>
      </c>
      <c r="O123" t="str">
        <f t="shared" si="7"/>
        <v xml:space="preserve">    {@"SYSG",0.760,0.860},</v>
      </c>
      <c r="P123">
        <v>119</v>
      </c>
    </row>
    <row r="124" spans="1:16" x14ac:dyDescent="0.2">
      <c r="A124" t="s">
        <v>119</v>
      </c>
      <c r="B124">
        <v>0.66</v>
      </c>
      <c r="C124">
        <v>0.76</v>
      </c>
      <c r="G124" t="s">
        <v>83</v>
      </c>
      <c r="H124">
        <v>0.63</v>
      </c>
      <c r="I124">
        <v>0.73</v>
      </c>
      <c r="K124" t="s">
        <v>115</v>
      </c>
      <c r="L124" s="3">
        <f t="shared" si="10"/>
        <v>0.51</v>
      </c>
      <c r="M124" s="3">
        <f t="shared" si="11"/>
        <v>0.61</v>
      </c>
      <c r="O124" t="str">
        <f t="shared" si="7"/>
        <v xml:space="preserve">    {@"SZ",0.510,0.610},</v>
      </c>
      <c r="P124">
        <v>120</v>
      </c>
    </row>
    <row r="125" spans="1:16" x14ac:dyDescent="0.2">
      <c r="A125" t="s">
        <v>120</v>
      </c>
      <c r="B125">
        <v>0.52</v>
      </c>
      <c r="C125">
        <v>0.62</v>
      </c>
      <c r="G125" t="s">
        <v>84</v>
      </c>
      <c r="H125">
        <v>0.61</v>
      </c>
      <c r="I125">
        <v>0.71</v>
      </c>
      <c r="K125" t="s">
        <v>116</v>
      </c>
      <c r="L125" s="3">
        <f t="shared" si="10"/>
        <v>0.65</v>
      </c>
      <c r="M125" s="3">
        <f t="shared" si="11"/>
        <v>0.75</v>
      </c>
      <c r="O125" t="str">
        <f t="shared" si="7"/>
        <v xml:space="preserve">    {@"SZG",0.650,0.750},</v>
      </c>
      <c r="P125">
        <v>121</v>
      </c>
    </row>
    <row r="126" spans="1:16" x14ac:dyDescent="0.2">
      <c r="A126" t="s">
        <v>121</v>
      </c>
      <c r="B126">
        <v>0.52</v>
      </c>
      <c r="C126">
        <v>0.62</v>
      </c>
      <c r="G126" t="s">
        <v>85</v>
      </c>
      <c r="H126">
        <v>0.74</v>
      </c>
      <c r="I126">
        <v>0.84</v>
      </c>
      <c r="K126" t="s">
        <v>117</v>
      </c>
      <c r="L126" s="3">
        <f t="shared" si="10"/>
        <v>0.38</v>
      </c>
      <c r="M126" s="3">
        <f t="shared" si="11"/>
        <v>0.48</v>
      </c>
      <c r="O126" t="str">
        <f t="shared" si="7"/>
        <v xml:space="preserve">    {@"T",0.380,0.480},</v>
      </c>
      <c r="P126">
        <v>122</v>
      </c>
    </row>
    <row r="127" spans="1:16" x14ac:dyDescent="0.2">
      <c r="A127" t="s">
        <v>122</v>
      </c>
      <c r="B127">
        <v>0.66</v>
      </c>
      <c r="C127">
        <v>0.76</v>
      </c>
      <c r="G127" t="s">
        <v>86</v>
      </c>
      <c r="H127">
        <v>0.5</v>
      </c>
      <c r="I127">
        <v>0.6</v>
      </c>
      <c r="K127" t="s">
        <v>118</v>
      </c>
      <c r="L127" s="3">
        <f t="shared" si="10"/>
        <v>0.52</v>
      </c>
      <c r="M127" s="3">
        <f t="shared" si="11"/>
        <v>0.62</v>
      </c>
      <c r="O127" t="str">
        <f t="shared" si="7"/>
        <v xml:space="preserve">    {@"TD",0.520,0.620},</v>
      </c>
      <c r="P127">
        <v>123</v>
      </c>
    </row>
    <row r="128" spans="1:16" x14ac:dyDescent="0.2">
      <c r="A128" t="s">
        <v>123</v>
      </c>
      <c r="B128">
        <v>0.52</v>
      </c>
      <c r="C128">
        <v>0.62</v>
      </c>
      <c r="G128" t="s">
        <v>87</v>
      </c>
      <c r="H128">
        <v>0.63</v>
      </c>
      <c r="I128">
        <v>0.73</v>
      </c>
      <c r="K128" t="s">
        <v>119</v>
      </c>
      <c r="L128" s="3">
        <f t="shared" si="10"/>
        <v>0.66</v>
      </c>
      <c r="M128" s="3">
        <f t="shared" si="11"/>
        <v>0.76</v>
      </c>
      <c r="O128" t="str">
        <f t="shared" si="7"/>
        <v xml:space="preserve">    {@"TDG",0.660,0.760},</v>
      </c>
      <c r="P128">
        <v>124</v>
      </c>
    </row>
    <row r="129" spans="1:16" x14ac:dyDescent="0.2">
      <c r="A129" t="s">
        <v>124</v>
      </c>
      <c r="B129">
        <v>0.66</v>
      </c>
      <c r="C129">
        <v>0.76</v>
      </c>
      <c r="G129" t="s">
        <v>88</v>
      </c>
      <c r="H129">
        <v>0.64</v>
      </c>
      <c r="I129">
        <v>0.74</v>
      </c>
      <c r="K129" t="s">
        <v>120</v>
      </c>
      <c r="L129" s="3">
        <f t="shared" si="10"/>
        <v>0.52</v>
      </c>
      <c r="M129" s="3">
        <f t="shared" si="11"/>
        <v>0.62</v>
      </c>
      <c r="O129" t="str">
        <f t="shared" si="7"/>
        <v xml:space="preserve">    {@"TG",0.520,0.620},</v>
      </c>
      <c r="P129">
        <v>125</v>
      </c>
    </row>
    <row r="130" spans="1:16" x14ac:dyDescent="0.2">
      <c r="A130" t="s">
        <v>125</v>
      </c>
      <c r="B130">
        <v>0.49000000000000005</v>
      </c>
      <c r="C130">
        <v>0.59000000000000008</v>
      </c>
      <c r="G130" t="s">
        <v>89</v>
      </c>
      <c r="H130">
        <v>0.77</v>
      </c>
      <c r="I130">
        <v>0.87</v>
      </c>
      <c r="K130" t="s">
        <v>121</v>
      </c>
      <c r="L130" s="3">
        <f t="shared" si="10"/>
        <v>0.52</v>
      </c>
      <c r="M130" s="3">
        <f t="shared" si="11"/>
        <v>0.62</v>
      </c>
      <c r="O130" t="str">
        <f t="shared" si="7"/>
        <v xml:space="preserve">    {@"TK",0.520,0.620},</v>
      </c>
      <c r="P130">
        <v>126</v>
      </c>
    </row>
    <row r="131" spans="1:16" x14ac:dyDescent="0.2">
      <c r="A131" t="s">
        <v>126</v>
      </c>
      <c r="B131">
        <v>0.63</v>
      </c>
      <c r="C131">
        <v>0.73</v>
      </c>
      <c r="G131" t="s">
        <v>90</v>
      </c>
      <c r="H131">
        <v>0.61</v>
      </c>
      <c r="I131">
        <v>0.71</v>
      </c>
      <c r="K131" t="s">
        <v>122</v>
      </c>
      <c r="L131" s="3">
        <f t="shared" si="10"/>
        <v>0.66</v>
      </c>
      <c r="M131" s="3">
        <f t="shared" si="11"/>
        <v>0.76</v>
      </c>
      <c r="O131" t="str">
        <f t="shared" ref="O131:O194" si="12">"    {@""" &amp;K131&amp;""","&amp;TEXT(L131,"0.000")&amp;","&amp;TEXT(M131,"0.000")&amp;"},"</f>
        <v xml:space="preserve">    {@"TKG",0.660,0.760},</v>
      </c>
      <c r="P131">
        <v>127</v>
      </c>
    </row>
    <row r="132" spans="1:16" x14ac:dyDescent="0.2">
      <c r="A132" t="s">
        <v>127</v>
      </c>
      <c r="B132">
        <v>0.59000000000000008</v>
      </c>
      <c r="C132">
        <v>0.69000000000000006</v>
      </c>
      <c r="G132" t="s">
        <v>91</v>
      </c>
      <c r="H132">
        <v>0.74</v>
      </c>
      <c r="I132">
        <v>0.84</v>
      </c>
      <c r="K132" t="s">
        <v>123</v>
      </c>
      <c r="L132" s="3">
        <f t="shared" ref="L132:L163" si="13">VLOOKUP(K132,$A$2:$C$193,2,FALSE)</f>
        <v>0.52</v>
      </c>
      <c r="M132" s="3">
        <f t="shared" ref="M132:M163" si="14">VLOOKUP(K132,$A$2:$C$193,3,FALSE)</f>
        <v>0.62</v>
      </c>
      <c r="O132" t="str">
        <f t="shared" si="12"/>
        <v xml:space="preserve">    {@"TM",0.520,0.620},</v>
      </c>
      <c r="P132">
        <v>128</v>
      </c>
    </row>
    <row r="133" spans="1:16" x14ac:dyDescent="0.2">
      <c r="A133" t="s">
        <v>128</v>
      </c>
      <c r="B133">
        <v>0.73</v>
      </c>
      <c r="C133">
        <v>0.83</v>
      </c>
      <c r="G133" t="s">
        <v>92</v>
      </c>
      <c r="H133">
        <v>0.61</v>
      </c>
      <c r="I133">
        <v>0.71</v>
      </c>
      <c r="K133" t="s">
        <v>124</v>
      </c>
      <c r="L133" s="3">
        <f t="shared" si="13"/>
        <v>0.66</v>
      </c>
      <c r="M133" s="3">
        <f t="shared" si="14"/>
        <v>0.76</v>
      </c>
      <c r="O133" t="str">
        <f t="shared" si="12"/>
        <v xml:space="preserve">    {@"TMG",0.660,0.760},</v>
      </c>
      <c r="P133">
        <v>129</v>
      </c>
    </row>
    <row r="134" spans="1:16" x14ac:dyDescent="0.2">
      <c r="A134" t="s">
        <v>129</v>
      </c>
      <c r="B134">
        <v>0.59000000000000008</v>
      </c>
      <c r="C134">
        <v>0.69000000000000006</v>
      </c>
      <c r="G134" t="s">
        <v>93</v>
      </c>
      <c r="H134">
        <v>0.74</v>
      </c>
      <c r="I134">
        <v>0.84</v>
      </c>
      <c r="K134" t="s">
        <v>125</v>
      </c>
      <c r="L134" s="3">
        <f t="shared" si="13"/>
        <v>0.49000000000000005</v>
      </c>
      <c r="M134" s="3">
        <f t="shared" si="14"/>
        <v>0.59000000000000008</v>
      </c>
      <c r="O134" t="str">
        <f t="shared" si="12"/>
        <v xml:space="preserve">    {@"TS",0.490,0.590},</v>
      </c>
      <c r="P134">
        <v>130</v>
      </c>
    </row>
    <row r="135" spans="1:16" x14ac:dyDescent="0.2">
      <c r="A135" t="s">
        <v>130</v>
      </c>
      <c r="B135">
        <v>0.73</v>
      </c>
      <c r="C135">
        <v>0.83</v>
      </c>
      <c r="G135" t="s">
        <v>94</v>
      </c>
      <c r="H135">
        <v>0.72</v>
      </c>
      <c r="I135">
        <v>0.82</v>
      </c>
      <c r="K135" t="s">
        <v>126</v>
      </c>
      <c r="L135" s="3">
        <f t="shared" si="13"/>
        <v>0.63</v>
      </c>
      <c r="M135" s="3">
        <f t="shared" si="14"/>
        <v>0.73</v>
      </c>
      <c r="O135" t="str">
        <f t="shared" si="12"/>
        <v xml:space="preserve">    {@"TSG",0.630,0.730},</v>
      </c>
      <c r="P135">
        <v>131</v>
      </c>
    </row>
    <row r="136" spans="1:16" x14ac:dyDescent="0.2">
      <c r="A136" t="s">
        <v>131</v>
      </c>
      <c r="B136">
        <v>0.68</v>
      </c>
      <c r="C136">
        <v>0.78</v>
      </c>
      <c r="G136" t="s">
        <v>95</v>
      </c>
      <c r="H136">
        <v>0.85</v>
      </c>
      <c r="I136">
        <v>0.95</v>
      </c>
      <c r="K136" t="s">
        <v>127</v>
      </c>
      <c r="L136" s="3">
        <f t="shared" si="13"/>
        <v>0.59000000000000008</v>
      </c>
      <c r="M136" s="3">
        <f t="shared" si="14"/>
        <v>0.69000000000000006</v>
      </c>
      <c r="O136" t="str">
        <f t="shared" si="12"/>
        <v xml:space="preserve">    {@"TSS",0.590,0.690},</v>
      </c>
      <c r="P136">
        <v>132</v>
      </c>
    </row>
    <row r="137" spans="1:16" x14ac:dyDescent="0.2">
      <c r="A137" t="s">
        <v>132</v>
      </c>
      <c r="B137">
        <v>0.82000000000000006</v>
      </c>
      <c r="C137">
        <v>0.92</v>
      </c>
      <c r="G137" t="s">
        <v>96</v>
      </c>
      <c r="H137">
        <v>0.69</v>
      </c>
      <c r="I137">
        <v>0.79</v>
      </c>
      <c r="K137" t="s">
        <v>128</v>
      </c>
      <c r="L137" s="3">
        <f t="shared" si="13"/>
        <v>0.73</v>
      </c>
      <c r="M137" s="3">
        <f t="shared" si="14"/>
        <v>0.83</v>
      </c>
      <c r="O137" t="str">
        <f t="shared" si="12"/>
        <v xml:space="preserve">    {@"TSSG",0.730,0.830},</v>
      </c>
      <c r="P137">
        <v>133</v>
      </c>
    </row>
    <row r="138" spans="1:16" x14ac:dyDescent="0.2">
      <c r="A138" t="s">
        <v>133</v>
      </c>
      <c r="B138">
        <v>0.49000000000000005</v>
      </c>
      <c r="C138">
        <v>0.59000000000000008</v>
      </c>
      <c r="G138" t="s">
        <v>97</v>
      </c>
      <c r="H138">
        <v>0.82</v>
      </c>
      <c r="I138">
        <v>0.92</v>
      </c>
      <c r="K138" t="s">
        <v>129</v>
      </c>
      <c r="L138" s="3">
        <f t="shared" si="13"/>
        <v>0.59000000000000008</v>
      </c>
      <c r="M138" s="3">
        <f t="shared" si="14"/>
        <v>0.69000000000000006</v>
      </c>
      <c r="O138" t="str">
        <f t="shared" si="12"/>
        <v xml:space="preserve">    {@"TST",0.590,0.690},</v>
      </c>
      <c r="P138">
        <v>134</v>
      </c>
    </row>
    <row r="139" spans="1:16" x14ac:dyDescent="0.2">
      <c r="A139" t="s">
        <v>134</v>
      </c>
      <c r="B139">
        <v>0.62</v>
      </c>
      <c r="C139">
        <v>0.72</v>
      </c>
      <c r="G139" t="s">
        <v>98</v>
      </c>
      <c r="H139">
        <v>0.72</v>
      </c>
      <c r="I139">
        <v>0.82</v>
      </c>
      <c r="K139" t="s">
        <v>130</v>
      </c>
      <c r="L139" s="3">
        <f t="shared" si="13"/>
        <v>0.73</v>
      </c>
      <c r="M139" s="3">
        <f t="shared" si="14"/>
        <v>0.83</v>
      </c>
      <c r="O139" t="str">
        <f t="shared" si="12"/>
        <v xml:space="preserve">    {@"TSTG",0.730,0.830},</v>
      </c>
      <c r="P139">
        <v>135</v>
      </c>
    </row>
    <row r="140" spans="1:16" x14ac:dyDescent="0.2">
      <c r="A140" t="s">
        <v>135</v>
      </c>
      <c r="B140">
        <v>0.74</v>
      </c>
      <c r="C140">
        <v>0.84</v>
      </c>
      <c r="G140" t="s">
        <v>99</v>
      </c>
      <c r="H140">
        <v>0.85</v>
      </c>
      <c r="I140">
        <v>0.95</v>
      </c>
      <c r="K140" t="s">
        <v>131</v>
      </c>
      <c r="L140" s="3">
        <f t="shared" si="13"/>
        <v>0.68</v>
      </c>
      <c r="M140" s="3">
        <f t="shared" si="14"/>
        <v>0.78</v>
      </c>
      <c r="O140" t="str">
        <f t="shared" si="12"/>
        <v xml:space="preserve">    {@"TSTS",0.680,0.780},</v>
      </c>
      <c r="P140">
        <v>136</v>
      </c>
    </row>
    <row r="141" spans="1:16" x14ac:dyDescent="0.2">
      <c r="A141" t="s">
        <v>136</v>
      </c>
      <c r="B141">
        <v>0.88</v>
      </c>
      <c r="C141">
        <v>0.98</v>
      </c>
      <c r="G141" t="s">
        <v>100</v>
      </c>
      <c r="H141">
        <v>0.72</v>
      </c>
      <c r="I141">
        <v>0.82</v>
      </c>
      <c r="K141" t="s">
        <v>132</v>
      </c>
      <c r="L141" s="3">
        <f t="shared" si="13"/>
        <v>0.82000000000000006</v>
      </c>
      <c r="M141" s="3">
        <f t="shared" si="14"/>
        <v>0.92</v>
      </c>
      <c r="O141" t="str">
        <f t="shared" si="12"/>
        <v xml:space="preserve">    {@"TSTSG",0.820,0.920},</v>
      </c>
      <c r="P141">
        <v>137</v>
      </c>
    </row>
    <row r="142" spans="1:16" x14ac:dyDescent="0.2">
      <c r="A142" t="s">
        <v>137</v>
      </c>
      <c r="B142">
        <v>0.63</v>
      </c>
      <c r="C142">
        <v>0.73</v>
      </c>
      <c r="G142" t="s">
        <v>101</v>
      </c>
      <c r="H142">
        <v>0.85</v>
      </c>
      <c r="I142">
        <v>0.95</v>
      </c>
      <c r="K142" t="s">
        <v>133</v>
      </c>
      <c r="L142" s="3">
        <f t="shared" si="13"/>
        <v>0.49000000000000005</v>
      </c>
      <c r="M142" s="3">
        <f t="shared" si="14"/>
        <v>0.59000000000000008</v>
      </c>
      <c r="O142" t="str">
        <f t="shared" si="12"/>
        <v xml:space="preserve">    {@"TT",0.490,0.590},</v>
      </c>
      <c r="P142">
        <v>138</v>
      </c>
    </row>
    <row r="143" spans="1:16" x14ac:dyDescent="0.2">
      <c r="A143" t="s">
        <v>138</v>
      </c>
      <c r="B143">
        <v>0.62</v>
      </c>
      <c r="C143">
        <v>0.72</v>
      </c>
      <c r="G143" t="s">
        <v>102</v>
      </c>
      <c r="H143">
        <v>0.64</v>
      </c>
      <c r="I143">
        <v>0.74</v>
      </c>
      <c r="K143" t="s">
        <v>134</v>
      </c>
      <c r="L143" s="3">
        <f t="shared" si="13"/>
        <v>0.62</v>
      </c>
      <c r="M143" s="3">
        <f t="shared" si="14"/>
        <v>0.72</v>
      </c>
      <c r="O143" t="str">
        <f t="shared" si="12"/>
        <v xml:space="preserve">    {@"TTD",0.620,0.720},</v>
      </c>
      <c r="P143">
        <v>139</v>
      </c>
    </row>
    <row r="144" spans="1:16" x14ac:dyDescent="0.2">
      <c r="A144" t="s">
        <v>139</v>
      </c>
      <c r="B144">
        <v>0.76</v>
      </c>
      <c r="C144">
        <v>0.86</v>
      </c>
      <c r="G144" t="s">
        <v>103</v>
      </c>
      <c r="H144">
        <v>0.77</v>
      </c>
      <c r="I144">
        <v>0.87</v>
      </c>
      <c r="K144" t="s">
        <v>135</v>
      </c>
      <c r="L144" s="3">
        <f t="shared" si="13"/>
        <v>0.74</v>
      </c>
      <c r="M144" s="3">
        <f t="shared" si="14"/>
        <v>0.84</v>
      </c>
      <c r="O144" t="str">
        <f t="shared" si="12"/>
        <v xml:space="preserve">    {@"TTDD",0.740,0.840},</v>
      </c>
      <c r="P144">
        <v>140</v>
      </c>
    </row>
    <row r="145" spans="1:16" x14ac:dyDescent="0.2">
      <c r="A145" t="s">
        <v>140</v>
      </c>
      <c r="B145">
        <v>0.59000000000000008</v>
      </c>
      <c r="C145">
        <v>0.69000000000000006</v>
      </c>
      <c r="G145" t="s">
        <v>104</v>
      </c>
      <c r="H145">
        <v>0.64</v>
      </c>
      <c r="I145">
        <v>0.74</v>
      </c>
      <c r="K145" t="s">
        <v>136</v>
      </c>
      <c r="L145" s="3">
        <f t="shared" si="13"/>
        <v>0.88</v>
      </c>
      <c r="M145" s="3">
        <f t="shared" si="14"/>
        <v>0.98</v>
      </c>
      <c r="O145" t="str">
        <f t="shared" si="12"/>
        <v xml:space="preserve">    {@"TTDDG",0.880,0.980},</v>
      </c>
      <c r="P145">
        <v>141</v>
      </c>
    </row>
    <row r="146" spans="1:16" x14ac:dyDescent="0.2">
      <c r="A146" t="s">
        <v>141</v>
      </c>
      <c r="B146">
        <v>0.73</v>
      </c>
      <c r="C146">
        <v>0.83</v>
      </c>
      <c r="G146" t="s">
        <v>105</v>
      </c>
      <c r="H146">
        <v>0.77</v>
      </c>
      <c r="I146">
        <v>0.87</v>
      </c>
      <c r="K146" t="s">
        <v>137</v>
      </c>
      <c r="L146" s="3">
        <f t="shared" si="13"/>
        <v>0.63</v>
      </c>
      <c r="M146" s="3">
        <f t="shared" si="14"/>
        <v>0.73</v>
      </c>
      <c r="O146" t="str">
        <f t="shared" si="12"/>
        <v xml:space="preserve">    {@"TTG",0.630,0.730},</v>
      </c>
      <c r="P146">
        <v>142</v>
      </c>
    </row>
    <row r="147" spans="1:16" x14ac:dyDescent="0.2">
      <c r="A147" t="s">
        <v>142</v>
      </c>
      <c r="B147">
        <v>0.59000000000000008</v>
      </c>
      <c r="C147">
        <v>0.69000000000000006</v>
      </c>
      <c r="G147" t="s">
        <v>106</v>
      </c>
      <c r="H147">
        <v>0.53</v>
      </c>
      <c r="I147">
        <v>0.63</v>
      </c>
      <c r="K147" t="s">
        <v>138</v>
      </c>
      <c r="L147" s="3">
        <f t="shared" si="13"/>
        <v>0.62</v>
      </c>
      <c r="M147" s="3">
        <f t="shared" si="14"/>
        <v>0.72</v>
      </c>
      <c r="O147" t="str">
        <f t="shared" si="12"/>
        <v xml:space="preserve">    {@"TTK",0.620,0.720},</v>
      </c>
      <c r="P147">
        <v>143</v>
      </c>
    </row>
    <row r="148" spans="1:16" x14ac:dyDescent="0.2">
      <c r="A148" t="s">
        <v>143</v>
      </c>
      <c r="B148">
        <v>0.73</v>
      </c>
      <c r="C148">
        <v>0.83</v>
      </c>
      <c r="G148" t="s">
        <v>107</v>
      </c>
      <c r="H148">
        <v>0.66</v>
      </c>
      <c r="I148">
        <v>0.76</v>
      </c>
      <c r="K148" t="s">
        <v>139</v>
      </c>
      <c r="L148" s="3">
        <f t="shared" si="13"/>
        <v>0.76</v>
      </c>
      <c r="M148" s="3">
        <f t="shared" si="14"/>
        <v>0.86</v>
      </c>
      <c r="O148" t="str">
        <f t="shared" si="12"/>
        <v xml:space="preserve">    {@"TTKG",0.760,0.860},</v>
      </c>
      <c r="P148">
        <v>144</v>
      </c>
    </row>
    <row r="149" spans="1:16" x14ac:dyDescent="0.2">
      <c r="A149" t="s">
        <v>144</v>
      </c>
      <c r="B149">
        <v>0.68</v>
      </c>
      <c r="C149">
        <v>0.78</v>
      </c>
      <c r="G149" t="s">
        <v>108</v>
      </c>
      <c r="H149">
        <v>0.64</v>
      </c>
      <c r="I149">
        <v>0.74</v>
      </c>
      <c r="K149" t="s">
        <v>140</v>
      </c>
      <c r="L149" s="3">
        <f t="shared" si="13"/>
        <v>0.59000000000000008</v>
      </c>
      <c r="M149" s="3">
        <f t="shared" si="14"/>
        <v>0.69000000000000006</v>
      </c>
      <c r="O149" t="str">
        <f t="shared" si="12"/>
        <v xml:space="preserve">    {@"TTS",0.590,0.690},</v>
      </c>
      <c r="P149">
        <v>145</v>
      </c>
    </row>
    <row r="150" spans="1:16" x14ac:dyDescent="0.2">
      <c r="A150" t="s">
        <v>145</v>
      </c>
      <c r="B150">
        <v>0.82000000000000006</v>
      </c>
      <c r="C150">
        <v>0.92</v>
      </c>
      <c r="G150" t="s">
        <v>109</v>
      </c>
      <c r="H150">
        <v>0.77</v>
      </c>
      <c r="I150">
        <v>0.87</v>
      </c>
      <c r="K150" t="s">
        <v>141</v>
      </c>
      <c r="L150" s="3">
        <f t="shared" si="13"/>
        <v>0.73</v>
      </c>
      <c r="M150" s="3">
        <f t="shared" si="14"/>
        <v>0.83</v>
      </c>
      <c r="O150" t="str">
        <f t="shared" si="12"/>
        <v xml:space="preserve">    {@"TTSG",0.730,0.830},</v>
      </c>
      <c r="P150">
        <v>146</v>
      </c>
    </row>
    <row r="151" spans="1:16" x14ac:dyDescent="0.2">
      <c r="A151" t="s">
        <v>146</v>
      </c>
      <c r="B151">
        <v>0.68</v>
      </c>
      <c r="C151">
        <v>0.78</v>
      </c>
      <c r="G151" t="s">
        <v>110</v>
      </c>
      <c r="H151">
        <v>0.79</v>
      </c>
      <c r="I151">
        <v>0.89</v>
      </c>
      <c r="K151" t="s">
        <v>142</v>
      </c>
      <c r="L151" s="3">
        <f t="shared" si="13"/>
        <v>0.59000000000000008</v>
      </c>
      <c r="M151" s="3">
        <f t="shared" si="14"/>
        <v>0.69000000000000006</v>
      </c>
      <c r="O151" t="str">
        <f t="shared" si="12"/>
        <v xml:space="preserve">    {@"TTT",0.590,0.690},</v>
      </c>
      <c r="P151">
        <v>147</v>
      </c>
    </row>
    <row r="152" spans="1:16" x14ac:dyDescent="0.2">
      <c r="A152" t="s">
        <v>147</v>
      </c>
      <c r="B152">
        <v>0.82000000000000006</v>
      </c>
      <c r="C152">
        <v>0.92</v>
      </c>
      <c r="G152" t="s">
        <v>111</v>
      </c>
      <c r="H152">
        <v>0.53</v>
      </c>
      <c r="I152">
        <v>0.63</v>
      </c>
      <c r="K152" t="s">
        <v>143</v>
      </c>
      <c r="L152" s="3">
        <f t="shared" si="13"/>
        <v>0.73</v>
      </c>
      <c r="M152" s="3">
        <f t="shared" si="14"/>
        <v>0.83</v>
      </c>
      <c r="O152" t="str">
        <f t="shared" si="12"/>
        <v xml:space="preserve">    {@"TTTG",0.730,0.830},</v>
      </c>
      <c r="P152">
        <v>148</v>
      </c>
    </row>
    <row r="153" spans="1:16" x14ac:dyDescent="0.2">
      <c r="A153" t="s">
        <v>148</v>
      </c>
      <c r="B153">
        <v>0.76</v>
      </c>
      <c r="C153">
        <v>0.86</v>
      </c>
      <c r="G153" t="s">
        <v>112</v>
      </c>
      <c r="H153">
        <v>0.66</v>
      </c>
      <c r="I153">
        <v>0.76</v>
      </c>
      <c r="K153" t="s">
        <v>144</v>
      </c>
      <c r="L153" s="3">
        <f t="shared" si="13"/>
        <v>0.68</v>
      </c>
      <c r="M153" s="3">
        <f t="shared" si="14"/>
        <v>0.78</v>
      </c>
      <c r="O153" t="str">
        <f t="shared" si="12"/>
        <v xml:space="preserve">    {@"TTTS",0.680,0.780},</v>
      </c>
      <c r="P153">
        <v>149</v>
      </c>
    </row>
    <row r="154" spans="1:16" x14ac:dyDescent="0.2">
      <c r="A154" t="s">
        <v>149</v>
      </c>
      <c r="B154">
        <v>0.76</v>
      </c>
      <c r="C154">
        <v>0.86</v>
      </c>
      <c r="G154" t="s">
        <v>113</v>
      </c>
      <c r="H154">
        <v>0.64</v>
      </c>
      <c r="I154">
        <v>0.74</v>
      </c>
      <c r="K154" t="s">
        <v>145</v>
      </c>
      <c r="L154" s="3">
        <f t="shared" si="13"/>
        <v>0.82000000000000006</v>
      </c>
      <c r="M154" s="3">
        <f t="shared" si="14"/>
        <v>0.92</v>
      </c>
      <c r="O154" t="str">
        <f t="shared" si="12"/>
        <v xml:space="preserve">    {@"TTTSG",0.820,0.920},</v>
      </c>
      <c r="P154">
        <v>150</v>
      </c>
    </row>
    <row r="155" spans="1:16" x14ac:dyDescent="0.2">
      <c r="A155" t="s">
        <v>150</v>
      </c>
      <c r="B155">
        <v>0.9</v>
      </c>
      <c r="C155">
        <v>1</v>
      </c>
      <c r="G155" t="s">
        <v>114</v>
      </c>
      <c r="H155">
        <v>0.77</v>
      </c>
      <c r="I155">
        <v>0.87</v>
      </c>
      <c r="K155" t="s">
        <v>146</v>
      </c>
      <c r="L155" s="3">
        <f t="shared" si="13"/>
        <v>0.68</v>
      </c>
      <c r="M155" s="3">
        <f t="shared" si="14"/>
        <v>0.78</v>
      </c>
      <c r="O155" t="str">
        <f t="shared" si="12"/>
        <v xml:space="preserve">    {@"TTTT",0.680,0.780},</v>
      </c>
      <c r="P155">
        <v>151</v>
      </c>
    </row>
    <row r="156" spans="1:16" x14ac:dyDescent="0.2">
      <c r="A156" t="s">
        <v>151</v>
      </c>
      <c r="B156">
        <v>0.41000000000000003</v>
      </c>
      <c r="C156">
        <v>0.51</v>
      </c>
      <c r="G156" t="s">
        <v>115</v>
      </c>
      <c r="H156">
        <v>0.52</v>
      </c>
      <c r="I156">
        <v>0.62</v>
      </c>
      <c r="K156" t="s">
        <v>147</v>
      </c>
      <c r="L156" s="3">
        <f t="shared" si="13"/>
        <v>0.82000000000000006</v>
      </c>
      <c r="M156" s="3">
        <f t="shared" si="14"/>
        <v>0.92</v>
      </c>
      <c r="O156" t="str">
        <f t="shared" si="12"/>
        <v xml:space="preserve">    {@"TTTTG",0.820,0.920},</v>
      </c>
      <c r="P156">
        <v>152</v>
      </c>
    </row>
    <row r="157" spans="1:16" x14ac:dyDescent="0.2">
      <c r="A157" t="s">
        <v>152</v>
      </c>
      <c r="B157">
        <v>0.55000000000000004</v>
      </c>
      <c r="C157">
        <v>0.65</v>
      </c>
      <c r="G157" t="s">
        <v>116</v>
      </c>
      <c r="H157">
        <v>0.65</v>
      </c>
      <c r="I157">
        <v>0.75</v>
      </c>
      <c r="K157" t="s">
        <v>148</v>
      </c>
      <c r="L157" s="3">
        <f t="shared" si="13"/>
        <v>0.76</v>
      </c>
      <c r="M157" s="3">
        <f t="shared" si="14"/>
        <v>0.86</v>
      </c>
      <c r="O157" t="str">
        <f t="shared" si="12"/>
        <v xml:space="preserve">    {@"TTTTS",0.760,0.860},</v>
      </c>
      <c r="P157">
        <v>153</v>
      </c>
    </row>
    <row r="158" spans="1:16" x14ac:dyDescent="0.2">
      <c r="A158" t="s">
        <v>153</v>
      </c>
      <c r="B158">
        <v>0.55000000000000004</v>
      </c>
      <c r="C158">
        <v>0.65</v>
      </c>
      <c r="G158" t="s">
        <v>117</v>
      </c>
      <c r="H158">
        <v>0.38</v>
      </c>
      <c r="I158">
        <v>0.48</v>
      </c>
      <c r="K158" t="s">
        <v>149</v>
      </c>
      <c r="L158" s="3">
        <f t="shared" si="13"/>
        <v>0.76</v>
      </c>
      <c r="M158" s="3">
        <f t="shared" si="14"/>
        <v>0.86</v>
      </c>
      <c r="O158" t="str">
        <f t="shared" si="12"/>
        <v xml:space="preserve">    {@"TTTTT",0.760,0.860},</v>
      </c>
      <c r="P158">
        <v>154</v>
      </c>
    </row>
    <row r="159" spans="1:16" x14ac:dyDescent="0.2">
      <c r="A159" t="s">
        <v>154</v>
      </c>
      <c r="B159">
        <v>0.69000000000000006</v>
      </c>
      <c r="C159">
        <v>0.79</v>
      </c>
      <c r="G159" t="s">
        <v>118</v>
      </c>
      <c r="H159">
        <v>0.53</v>
      </c>
      <c r="I159">
        <v>0.63</v>
      </c>
      <c r="K159" t="s">
        <v>150</v>
      </c>
      <c r="L159" s="3">
        <f t="shared" si="13"/>
        <v>0.9</v>
      </c>
      <c r="M159" s="3">
        <f t="shared" si="14"/>
        <v>1</v>
      </c>
      <c r="O159" t="str">
        <f t="shared" si="12"/>
        <v xml:space="preserve">    {@"TTTTTG",0.900,1.000},</v>
      </c>
      <c r="P159">
        <v>155</v>
      </c>
    </row>
    <row r="160" spans="1:16" x14ac:dyDescent="0.2">
      <c r="A160" t="s">
        <v>155</v>
      </c>
      <c r="B160">
        <v>0.68</v>
      </c>
      <c r="C160">
        <v>0.78</v>
      </c>
      <c r="G160" t="s">
        <v>119</v>
      </c>
      <c r="H160">
        <v>0.66</v>
      </c>
      <c r="I160">
        <v>0.76</v>
      </c>
      <c r="K160" t="s">
        <v>151</v>
      </c>
      <c r="L160" s="3">
        <f t="shared" si="13"/>
        <v>0.41000000000000003</v>
      </c>
      <c r="M160" s="3">
        <f t="shared" si="14"/>
        <v>0.51</v>
      </c>
      <c r="O160" t="str">
        <f t="shared" si="12"/>
        <v xml:space="preserve">    {@"X",0.410,0.510},</v>
      </c>
      <c r="P160">
        <v>156</v>
      </c>
    </row>
    <row r="161" spans="1:16" x14ac:dyDescent="0.2">
      <c r="A161" t="s">
        <v>156</v>
      </c>
      <c r="B161">
        <v>0.82000000000000006</v>
      </c>
      <c r="C161">
        <v>0.92</v>
      </c>
      <c r="G161" t="s">
        <v>120</v>
      </c>
      <c r="H161">
        <v>0.51</v>
      </c>
      <c r="I161">
        <v>0.61</v>
      </c>
      <c r="K161" t="s">
        <v>152</v>
      </c>
      <c r="L161" s="3">
        <f t="shared" si="13"/>
        <v>0.55000000000000004</v>
      </c>
      <c r="M161" s="3">
        <f t="shared" si="14"/>
        <v>0.65</v>
      </c>
      <c r="O161" t="str">
        <f t="shared" si="12"/>
        <v xml:space="preserve">    {@"XG",0.550,0.650},</v>
      </c>
      <c r="P161">
        <v>157</v>
      </c>
    </row>
    <row r="162" spans="1:16" x14ac:dyDescent="0.2">
      <c r="A162" t="s">
        <v>157</v>
      </c>
      <c r="B162">
        <v>0.52</v>
      </c>
      <c r="C162">
        <v>0.62</v>
      </c>
      <c r="G162" t="s">
        <v>121</v>
      </c>
      <c r="H162">
        <v>0.53</v>
      </c>
      <c r="I162">
        <v>0.63</v>
      </c>
      <c r="K162" t="s">
        <v>153</v>
      </c>
      <c r="L162" s="3">
        <f t="shared" si="13"/>
        <v>0.55000000000000004</v>
      </c>
      <c r="M162" s="3">
        <f t="shared" si="14"/>
        <v>0.65</v>
      </c>
      <c r="O162" t="str">
        <f t="shared" si="12"/>
        <v xml:space="preserve">    {@"XK",0.550,0.650},</v>
      </c>
      <c r="P162">
        <v>158</v>
      </c>
    </row>
    <row r="163" spans="1:16" x14ac:dyDescent="0.2">
      <c r="A163" t="s">
        <v>158</v>
      </c>
      <c r="B163">
        <v>0.66</v>
      </c>
      <c r="C163">
        <v>0.76</v>
      </c>
      <c r="G163" t="s">
        <v>122</v>
      </c>
      <c r="H163">
        <v>0.66</v>
      </c>
      <c r="I163">
        <v>0.76</v>
      </c>
      <c r="K163" t="s">
        <v>154</v>
      </c>
      <c r="L163" s="3">
        <f t="shared" si="13"/>
        <v>0.69000000000000006</v>
      </c>
      <c r="M163" s="3">
        <f t="shared" si="14"/>
        <v>0.79</v>
      </c>
      <c r="O163" t="str">
        <f t="shared" si="12"/>
        <v xml:space="preserve">    {@"XKG",0.690,0.790},</v>
      </c>
      <c r="P163">
        <v>159</v>
      </c>
    </row>
    <row r="164" spans="1:16" x14ac:dyDescent="0.2">
      <c r="A164" t="s">
        <v>159</v>
      </c>
      <c r="B164">
        <v>0.65</v>
      </c>
      <c r="C164">
        <v>0.75</v>
      </c>
      <c r="G164" t="s">
        <v>123</v>
      </c>
      <c r="H164">
        <v>0.53</v>
      </c>
      <c r="I164">
        <v>0.63</v>
      </c>
      <c r="K164" t="s">
        <v>155</v>
      </c>
      <c r="L164" s="3">
        <f t="shared" ref="L164:L195" si="15">VLOOKUP(K164,$A$2:$C$193,2,FALSE)</f>
        <v>0.68</v>
      </c>
      <c r="M164" s="3">
        <f t="shared" ref="M164:M196" si="16">VLOOKUP(K164,$A$2:$C$193,3,FALSE)</f>
        <v>0.78</v>
      </c>
      <c r="O164" t="str">
        <f t="shared" si="12"/>
        <v xml:space="preserve">    {@"XKX",0.680,0.780},</v>
      </c>
      <c r="P164">
        <v>160</v>
      </c>
    </row>
    <row r="165" spans="1:16" x14ac:dyDescent="0.2">
      <c r="A165" t="s">
        <v>160</v>
      </c>
      <c r="B165">
        <v>0.79</v>
      </c>
      <c r="C165">
        <v>0.89</v>
      </c>
      <c r="G165" t="s">
        <v>124</v>
      </c>
      <c r="H165">
        <v>0.66</v>
      </c>
      <c r="I165">
        <v>0.76</v>
      </c>
      <c r="K165" t="s">
        <v>156</v>
      </c>
      <c r="L165" s="3">
        <f t="shared" si="15"/>
        <v>0.82000000000000006</v>
      </c>
      <c r="M165" s="3">
        <f t="shared" si="16"/>
        <v>0.92</v>
      </c>
      <c r="O165" t="str">
        <f t="shared" si="12"/>
        <v xml:space="preserve">    {@"XKXG",0.820,0.920},</v>
      </c>
      <c r="P165">
        <v>161</v>
      </c>
    </row>
    <row r="166" spans="1:16" x14ac:dyDescent="0.2">
      <c r="A166" t="s">
        <v>161</v>
      </c>
      <c r="B166">
        <v>0.62</v>
      </c>
      <c r="C166">
        <v>0.72</v>
      </c>
      <c r="G166" t="s">
        <v>125</v>
      </c>
      <c r="H166">
        <v>0.5</v>
      </c>
      <c r="I166">
        <v>0.6</v>
      </c>
      <c r="K166" t="s">
        <v>157</v>
      </c>
      <c r="L166" s="3">
        <f t="shared" si="15"/>
        <v>0.52</v>
      </c>
      <c r="M166" s="3">
        <f t="shared" si="16"/>
        <v>0.62</v>
      </c>
      <c r="O166" t="str">
        <f t="shared" si="12"/>
        <v xml:space="preserve">    {@"XS",0.520,0.620},</v>
      </c>
      <c r="P166">
        <v>162</v>
      </c>
    </row>
    <row r="167" spans="1:16" x14ac:dyDescent="0.2">
      <c r="A167" t="s">
        <v>162</v>
      </c>
      <c r="B167">
        <v>0.76</v>
      </c>
      <c r="C167">
        <v>0.86</v>
      </c>
      <c r="G167" t="s">
        <v>126</v>
      </c>
      <c r="H167">
        <v>0.63</v>
      </c>
      <c r="I167">
        <v>0.73</v>
      </c>
      <c r="K167" t="s">
        <v>158</v>
      </c>
      <c r="L167" s="3">
        <f t="shared" si="15"/>
        <v>0.66</v>
      </c>
      <c r="M167" s="3">
        <f t="shared" si="16"/>
        <v>0.76</v>
      </c>
      <c r="O167" t="str">
        <f t="shared" si="12"/>
        <v xml:space="preserve">    {@"XSG",0.660,0.760},</v>
      </c>
      <c r="P167">
        <v>163</v>
      </c>
    </row>
    <row r="168" spans="1:16" x14ac:dyDescent="0.2">
      <c r="A168" t="s">
        <v>163</v>
      </c>
      <c r="B168">
        <v>0.71</v>
      </c>
      <c r="C168">
        <v>0.80999999999999994</v>
      </c>
      <c r="G168" t="s">
        <v>127</v>
      </c>
      <c r="H168">
        <v>0.61</v>
      </c>
      <c r="I168">
        <v>0.71</v>
      </c>
      <c r="K168" t="s">
        <v>159</v>
      </c>
      <c r="L168" s="3">
        <f t="shared" si="15"/>
        <v>0.65</v>
      </c>
      <c r="M168" s="3">
        <f t="shared" si="16"/>
        <v>0.75</v>
      </c>
      <c r="O168" t="str">
        <f t="shared" si="12"/>
        <v xml:space="preserve">    {@"XSX",0.650,0.750},</v>
      </c>
      <c r="P168">
        <v>164</v>
      </c>
    </row>
    <row r="169" spans="1:16" x14ac:dyDescent="0.2">
      <c r="A169" t="s">
        <v>164</v>
      </c>
      <c r="B169">
        <v>0.85</v>
      </c>
      <c r="C169">
        <v>0.95</v>
      </c>
      <c r="G169" t="s">
        <v>128</v>
      </c>
      <c r="H169">
        <v>0.74</v>
      </c>
      <c r="I169">
        <v>0.84</v>
      </c>
      <c r="K169" t="s">
        <v>160</v>
      </c>
      <c r="L169" s="3">
        <f t="shared" si="15"/>
        <v>0.79</v>
      </c>
      <c r="M169" s="3">
        <f t="shared" si="16"/>
        <v>0.89</v>
      </c>
      <c r="O169" t="str">
        <f t="shared" si="12"/>
        <v xml:space="preserve">    {@"XSXG",0.790,0.890},</v>
      </c>
      <c r="P169">
        <v>165</v>
      </c>
    </row>
    <row r="170" spans="1:16" x14ac:dyDescent="0.2">
      <c r="A170" t="s">
        <v>165</v>
      </c>
      <c r="B170">
        <v>0.71</v>
      </c>
      <c r="C170">
        <v>0.80999999999999994</v>
      </c>
      <c r="G170" t="s">
        <v>129</v>
      </c>
      <c r="H170">
        <v>0.61</v>
      </c>
      <c r="I170">
        <v>0.71</v>
      </c>
      <c r="K170" t="s">
        <v>161</v>
      </c>
      <c r="L170" s="3">
        <f t="shared" si="15"/>
        <v>0.62</v>
      </c>
      <c r="M170" s="3">
        <f t="shared" si="16"/>
        <v>0.72</v>
      </c>
      <c r="O170" t="str">
        <f t="shared" si="12"/>
        <v xml:space="preserve">    {@"XTT",0.620,0.720},</v>
      </c>
      <c r="P170">
        <v>166</v>
      </c>
    </row>
    <row r="171" spans="1:16" x14ac:dyDescent="0.2">
      <c r="A171" t="s">
        <v>166</v>
      </c>
      <c r="B171">
        <v>0.85</v>
      </c>
      <c r="C171">
        <v>0.95</v>
      </c>
      <c r="G171" t="s">
        <v>130</v>
      </c>
      <c r="H171">
        <v>0.74</v>
      </c>
      <c r="I171">
        <v>0.84</v>
      </c>
      <c r="K171" t="s">
        <v>162</v>
      </c>
      <c r="L171" s="3">
        <f t="shared" si="15"/>
        <v>0.76</v>
      </c>
      <c r="M171" s="3">
        <f t="shared" si="16"/>
        <v>0.86</v>
      </c>
      <c r="O171" t="str">
        <f t="shared" si="12"/>
        <v xml:space="preserve">    {@"XTTG",0.760,0.860},</v>
      </c>
      <c r="P171">
        <v>167</v>
      </c>
    </row>
    <row r="172" spans="1:16" x14ac:dyDescent="0.2">
      <c r="A172" t="s">
        <v>167</v>
      </c>
      <c r="B172">
        <v>0.74</v>
      </c>
      <c r="C172">
        <v>0.84</v>
      </c>
      <c r="G172" t="s">
        <v>131</v>
      </c>
      <c r="H172">
        <v>0.69</v>
      </c>
      <c r="I172">
        <v>0.79</v>
      </c>
      <c r="K172" t="s">
        <v>163</v>
      </c>
      <c r="L172" s="3">
        <f t="shared" si="15"/>
        <v>0.71</v>
      </c>
      <c r="M172" s="3">
        <f t="shared" si="16"/>
        <v>0.80999999999999994</v>
      </c>
      <c r="O172" t="str">
        <f t="shared" si="12"/>
        <v xml:space="preserve">    {@"XTTS",0.710,0.810},</v>
      </c>
      <c r="P172">
        <v>168</v>
      </c>
    </row>
    <row r="173" spans="1:16" x14ac:dyDescent="0.2">
      <c r="A173" t="s">
        <v>168</v>
      </c>
      <c r="B173">
        <v>0.41000000000000003</v>
      </c>
      <c r="C173">
        <v>0.51</v>
      </c>
      <c r="G173" t="s">
        <v>132</v>
      </c>
      <c r="H173">
        <v>0.82</v>
      </c>
      <c r="I173">
        <v>0.92</v>
      </c>
      <c r="K173" t="s">
        <v>164</v>
      </c>
      <c r="L173" s="3">
        <f t="shared" si="15"/>
        <v>0.85</v>
      </c>
      <c r="M173" s="3">
        <f t="shared" si="16"/>
        <v>0.95</v>
      </c>
      <c r="O173" t="str">
        <f t="shared" si="12"/>
        <v xml:space="preserve">    {@"XTTSG",0.850,0.950},</v>
      </c>
      <c r="P173">
        <v>169</v>
      </c>
    </row>
    <row r="174" spans="1:16" x14ac:dyDescent="0.2">
      <c r="A174" t="s">
        <v>169</v>
      </c>
      <c r="B174">
        <v>0.55000000000000004</v>
      </c>
      <c r="C174">
        <v>0.65</v>
      </c>
      <c r="G174" t="s">
        <v>133</v>
      </c>
      <c r="H174">
        <v>0.5</v>
      </c>
      <c r="I174">
        <v>0.6</v>
      </c>
      <c r="K174" t="s">
        <v>165</v>
      </c>
      <c r="L174" s="3">
        <f t="shared" si="15"/>
        <v>0.71</v>
      </c>
      <c r="M174" s="3">
        <f t="shared" si="16"/>
        <v>0.80999999999999994</v>
      </c>
      <c r="O174" t="str">
        <f t="shared" si="12"/>
        <v xml:space="preserve">    {@"XTTT",0.710,0.810},</v>
      </c>
      <c r="P174">
        <v>170</v>
      </c>
    </row>
    <row r="175" spans="1:16" x14ac:dyDescent="0.2">
      <c r="A175" t="s">
        <v>170</v>
      </c>
      <c r="B175">
        <v>0.55000000000000004</v>
      </c>
      <c r="C175">
        <v>0.65</v>
      </c>
      <c r="G175" t="s">
        <v>134</v>
      </c>
      <c r="H175">
        <v>0.64</v>
      </c>
      <c r="I175">
        <v>0.74</v>
      </c>
      <c r="K175" t="s">
        <v>166</v>
      </c>
      <c r="L175" s="3">
        <f t="shared" si="15"/>
        <v>0.85</v>
      </c>
      <c r="M175" s="3">
        <f t="shared" si="16"/>
        <v>0.95</v>
      </c>
      <c r="O175" t="str">
        <f t="shared" si="12"/>
        <v xml:space="preserve">    {@"XTTTG",0.850,0.950},</v>
      </c>
      <c r="P175">
        <v>171</v>
      </c>
    </row>
    <row r="176" spans="1:16" x14ac:dyDescent="0.2">
      <c r="A176" t="s">
        <v>171</v>
      </c>
      <c r="B176">
        <v>0.69000000000000006</v>
      </c>
      <c r="C176">
        <v>0.79</v>
      </c>
      <c r="G176" t="s">
        <v>135</v>
      </c>
      <c r="H176">
        <v>0.75</v>
      </c>
      <c r="I176">
        <v>0.85</v>
      </c>
      <c r="K176" t="s">
        <v>167</v>
      </c>
      <c r="L176" s="3">
        <f t="shared" si="15"/>
        <v>0.74</v>
      </c>
      <c r="M176" s="3">
        <f t="shared" si="16"/>
        <v>0.84</v>
      </c>
      <c r="O176" t="str">
        <f t="shared" si="12"/>
        <v xml:space="preserve">    {@"XTTX",0.740,0.840},</v>
      </c>
      <c r="P176">
        <v>172</v>
      </c>
    </row>
    <row r="177" spans="1:16" x14ac:dyDescent="0.2">
      <c r="A177" t="s">
        <v>172</v>
      </c>
      <c r="B177">
        <v>0.68</v>
      </c>
      <c r="C177">
        <v>0.78</v>
      </c>
      <c r="G177" t="s">
        <v>136</v>
      </c>
      <c r="H177">
        <v>0.88</v>
      </c>
      <c r="I177">
        <v>0.98</v>
      </c>
      <c r="K177" t="s">
        <v>168</v>
      </c>
      <c r="L177" s="3">
        <f t="shared" si="15"/>
        <v>0.41000000000000003</v>
      </c>
      <c r="M177" s="3">
        <f t="shared" si="16"/>
        <v>0.51</v>
      </c>
      <c r="O177" t="str">
        <f t="shared" si="12"/>
        <v xml:space="preserve">    {@"Y",0.410,0.510},</v>
      </c>
      <c r="P177">
        <v>173</v>
      </c>
    </row>
    <row r="178" spans="1:16" x14ac:dyDescent="0.2">
      <c r="A178" t="s">
        <v>173</v>
      </c>
      <c r="B178">
        <v>0.82000000000000006</v>
      </c>
      <c r="C178">
        <v>0.92</v>
      </c>
      <c r="G178" t="s">
        <v>137</v>
      </c>
      <c r="H178">
        <v>0.63</v>
      </c>
      <c r="I178">
        <v>0.73</v>
      </c>
      <c r="K178" t="s">
        <v>169</v>
      </c>
      <c r="L178" s="3">
        <f t="shared" si="15"/>
        <v>0.55000000000000004</v>
      </c>
      <c r="M178" s="3">
        <f t="shared" si="16"/>
        <v>0.65</v>
      </c>
      <c r="O178" t="str">
        <f t="shared" si="12"/>
        <v xml:space="preserve">    {@"YG",0.550,0.650},</v>
      </c>
      <c r="P178">
        <v>174</v>
      </c>
    </row>
    <row r="179" spans="1:16" x14ac:dyDescent="0.2">
      <c r="A179" t="s">
        <v>174</v>
      </c>
      <c r="B179">
        <v>0.52</v>
      </c>
      <c r="C179">
        <v>0.62</v>
      </c>
      <c r="G179" t="s">
        <v>138</v>
      </c>
      <c r="H179">
        <v>0.64</v>
      </c>
      <c r="I179">
        <v>0.74</v>
      </c>
      <c r="K179" t="s">
        <v>170</v>
      </c>
      <c r="L179" s="3">
        <f t="shared" si="15"/>
        <v>0.55000000000000004</v>
      </c>
      <c r="M179" s="3">
        <f t="shared" si="16"/>
        <v>0.65</v>
      </c>
      <c r="O179" t="str">
        <f t="shared" si="12"/>
        <v xml:space="preserve">    {@"YK",0.550,0.650},</v>
      </c>
      <c r="P179">
        <v>175</v>
      </c>
    </row>
    <row r="180" spans="1:16" x14ac:dyDescent="0.2">
      <c r="A180" t="s">
        <v>174</v>
      </c>
      <c r="B180">
        <v>0.52</v>
      </c>
      <c r="C180">
        <v>0.62</v>
      </c>
      <c r="G180" t="s">
        <v>139</v>
      </c>
      <c r="H180">
        <v>0.77</v>
      </c>
      <c r="I180">
        <v>0.87</v>
      </c>
      <c r="K180" t="s">
        <v>171</v>
      </c>
      <c r="L180" s="3">
        <f t="shared" si="15"/>
        <v>0.69000000000000006</v>
      </c>
      <c r="M180" s="3">
        <f t="shared" si="16"/>
        <v>0.79</v>
      </c>
      <c r="O180" t="str">
        <f t="shared" si="12"/>
        <v xml:space="preserve">    {@"YKG",0.690,0.790},</v>
      </c>
      <c r="P180">
        <v>176</v>
      </c>
    </row>
    <row r="181" spans="1:16" x14ac:dyDescent="0.2">
      <c r="A181" t="s">
        <v>175</v>
      </c>
      <c r="B181">
        <v>0.66</v>
      </c>
      <c r="C181">
        <v>0.76</v>
      </c>
      <c r="G181" t="s">
        <v>140</v>
      </c>
      <c r="H181">
        <v>0.61</v>
      </c>
      <c r="I181">
        <v>0.71</v>
      </c>
      <c r="K181" t="s">
        <v>172</v>
      </c>
      <c r="L181" s="3">
        <f t="shared" si="15"/>
        <v>0.68</v>
      </c>
      <c r="M181" s="3">
        <f t="shared" si="16"/>
        <v>0.78</v>
      </c>
      <c r="O181" t="str">
        <f t="shared" si="12"/>
        <v xml:space="preserve">    {@"YKX",0.680,0.780},</v>
      </c>
      <c r="P181">
        <v>177</v>
      </c>
    </row>
    <row r="182" spans="1:16" x14ac:dyDescent="0.2">
      <c r="A182" t="s">
        <v>175</v>
      </c>
      <c r="B182">
        <v>0.66</v>
      </c>
      <c r="C182">
        <v>0.76</v>
      </c>
      <c r="G182" t="s">
        <v>141</v>
      </c>
      <c r="H182">
        <v>0.74</v>
      </c>
      <c r="I182">
        <v>0.84</v>
      </c>
      <c r="K182" t="s">
        <v>173</v>
      </c>
      <c r="L182" s="3">
        <f t="shared" si="15"/>
        <v>0.82000000000000006</v>
      </c>
      <c r="M182" s="3">
        <f t="shared" si="16"/>
        <v>0.92</v>
      </c>
      <c r="O182" t="str">
        <f t="shared" si="12"/>
        <v xml:space="preserve">    {@"YKXG",0.820,0.920},</v>
      </c>
      <c r="P182">
        <v>178</v>
      </c>
    </row>
    <row r="183" spans="1:16" x14ac:dyDescent="0.2">
      <c r="A183" t="s">
        <v>176</v>
      </c>
      <c r="B183">
        <v>0.52</v>
      </c>
      <c r="C183">
        <v>0.62</v>
      </c>
      <c r="G183" t="s">
        <v>142</v>
      </c>
      <c r="H183">
        <v>0.61</v>
      </c>
      <c r="I183">
        <v>0.71</v>
      </c>
      <c r="K183" t="s">
        <v>174</v>
      </c>
      <c r="L183" s="3">
        <f t="shared" si="15"/>
        <v>0.52</v>
      </c>
      <c r="M183" s="3">
        <f t="shared" si="16"/>
        <v>0.62</v>
      </c>
      <c r="O183" t="str">
        <f t="shared" si="12"/>
        <v xml:space="preserve">    {@"YS",0.520,0.620},</v>
      </c>
      <c r="P183">
        <v>179</v>
      </c>
    </row>
    <row r="184" spans="1:16" x14ac:dyDescent="0.2">
      <c r="A184" t="s">
        <v>177</v>
      </c>
      <c r="B184">
        <v>0.66</v>
      </c>
      <c r="C184">
        <v>0.76</v>
      </c>
      <c r="G184" t="s">
        <v>143</v>
      </c>
      <c r="H184">
        <v>0.74</v>
      </c>
      <c r="I184">
        <v>0.84</v>
      </c>
      <c r="K184" t="s">
        <v>174</v>
      </c>
      <c r="L184" s="3">
        <f t="shared" si="15"/>
        <v>0.52</v>
      </c>
      <c r="M184" s="3">
        <f t="shared" si="16"/>
        <v>0.62</v>
      </c>
      <c r="O184" t="str">
        <f t="shared" si="12"/>
        <v xml:space="preserve">    {@"YS",0.520,0.620},</v>
      </c>
      <c r="P184">
        <v>180</v>
      </c>
    </row>
    <row r="185" spans="1:16" x14ac:dyDescent="0.2">
      <c r="A185" t="s">
        <v>178</v>
      </c>
      <c r="B185">
        <v>0.62</v>
      </c>
      <c r="C185">
        <v>0.72</v>
      </c>
      <c r="G185" t="s">
        <v>144</v>
      </c>
      <c r="H185">
        <v>0.69</v>
      </c>
      <c r="I185">
        <v>0.79</v>
      </c>
      <c r="K185" t="s">
        <v>175</v>
      </c>
      <c r="L185" s="3">
        <f t="shared" si="15"/>
        <v>0.66</v>
      </c>
      <c r="M185" s="3">
        <f t="shared" si="16"/>
        <v>0.76</v>
      </c>
      <c r="O185" t="str">
        <f t="shared" si="12"/>
        <v xml:space="preserve">    {@"YSG",0.660,0.760},</v>
      </c>
      <c r="P185">
        <v>181</v>
      </c>
    </row>
    <row r="186" spans="1:16" x14ac:dyDescent="0.2">
      <c r="A186" t="s">
        <v>179</v>
      </c>
      <c r="B186">
        <v>0.76</v>
      </c>
      <c r="C186">
        <v>0.86</v>
      </c>
      <c r="G186" t="s">
        <v>145</v>
      </c>
      <c r="H186">
        <v>0.82</v>
      </c>
      <c r="I186">
        <v>0.92</v>
      </c>
      <c r="K186" t="s">
        <v>175</v>
      </c>
      <c r="L186" s="3">
        <f t="shared" si="15"/>
        <v>0.66</v>
      </c>
      <c r="M186" s="3">
        <f t="shared" si="16"/>
        <v>0.76</v>
      </c>
      <c r="O186" t="str">
        <f t="shared" si="12"/>
        <v xml:space="preserve">    {@"YSG",0.660,0.760},</v>
      </c>
      <c r="P186">
        <v>182</v>
      </c>
    </row>
    <row r="187" spans="1:16" x14ac:dyDescent="0.2">
      <c r="A187" t="s">
        <v>180</v>
      </c>
      <c r="B187">
        <v>0.71</v>
      </c>
      <c r="C187">
        <v>0.80999999999999994</v>
      </c>
      <c r="G187" t="s">
        <v>146</v>
      </c>
      <c r="H187">
        <v>0.69</v>
      </c>
      <c r="I187">
        <v>0.79</v>
      </c>
      <c r="K187" t="s">
        <v>176</v>
      </c>
      <c r="L187" s="3">
        <f t="shared" si="15"/>
        <v>0.52</v>
      </c>
      <c r="M187" s="3">
        <f t="shared" si="16"/>
        <v>0.62</v>
      </c>
      <c r="O187" t="str">
        <f t="shared" si="12"/>
        <v xml:space="preserve">    {@"YT",0.520,0.620},</v>
      </c>
      <c r="P187">
        <v>183</v>
      </c>
    </row>
    <row r="188" spans="1:16" x14ac:dyDescent="0.2">
      <c r="A188" t="s">
        <v>181</v>
      </c>
      <c r="B188">
        <v>0.85</v>
      </c>
      <c r="C188">
        <v>0.95</v>
      </c>
      <c r="G188" t="s">
        <v>147</v>
      </c>
      <c r="H188">
        <v>0.82</v>
      </c>
      <c r="I188">
        <v>0.92</v>
      </c>
      <c r="K188" t="s">
        <v>177</v>
      </c>
      <c r="L188" s="3">
        <f t="shared" si="15"/>
        <v>0.66</v>
      </c>
      <c r="M188" s="3">
        <f t="shared" si="16"/>
        <v>0.76</v>
      </c>
      <c r="O188" t="str">
        <f t="shared" si="12"/>
        <v xml:space="preserve">    {@"YTG",0.660,0.760},</v>
      </c>
      <c r="P188">
        <v>184</v>
      </c>
    </row>
    <row r="189" spans="1:16" x14ac:dyDescent="0.2">
      <c r="A189" t="s">
        <v>182</v>
      </c>
      <c r="B189">
        <v>0.65</v>
      </c>
      <c r="C189">
        <v>0.75</v>
      </c>
      <c r="G189" t="s">
        <v>148</v>
      </c>
      <c r="H189">
        <v>0.73</v>
      </c>
      <c r="I189">
        <v>0.83</v>
      </c>
      <c r="K189" t="s">
        <v>178</v>
      </c>
      <c r="L189" s="3">
        <f t="shared" si="15"/>
        <v>0.62</v>
      </c>
      <c r="M189" s="3">
        <f t="shared" si="16"/>
        <v>0.72</v>
      </c>
      <c r="O189" t="str">
        <f t="shared" si="12"/>
        <v xml:space="preserve">    {@"YTS",0.620,0.720},</v>
      </c>
      <c r="P189">
        <v>185</v>
      </c>
    </row>
    <row r="190" spans="1:16" x14ac:dyDescent="0.2">
      <c r="A190" t="s">
        <v>183</v>
      </c>
      <c r="B190">
        <v>0.79</v>
      </c>
      <c r="C190">
        <v>0.89</v>
      </c>
      <c r="G190" t="s">
        <v>149</v>
      </c>
      <c r="H190">
        <v>0.73</v>
      </c>
      <c r="I190">
        <v>0.83</v>
      </c>
      <c r="K190" t="s">
        <v>179</v>
      </c>
      <c r="L190" s="3">
        <f t="shared" si="15"/>
        <v>0.76</v>
      </c>
      <c r="M190" s="3">
        <f t="shared" si="16"/>
        <v>0.86</v>
      </c>
      <c r="O190" t="str">
        <f t="shared" si="12"/>
        <v xml:space="preserve">    {@"YTSG",0.760,0.860},</v>
      </c>
      <c r="P190">
        <v>186</v>
      </c>
    </row>
    <row r="191" spans="1:16" x14ac:dyDescent="0.2">
      <c r="A191" t="s">
        <v>184</v>
      </c>
      <c r="B191">
        <v>0.4</v>
      </c>
      <c r="C191">
        <v>0.5</v>
      </c>
      <c r="G191" t="s">
        <v>150</v>
      </c>
      <c r="H191">
        <v>0.86</v>
      </c>
      <c r="I191">
        <v>0.96</v>
      </c>
      <c r="K191" t="s">
        <v>180</v>
      </c>
      <c r="L191" s="3">
        <f t="shared" si="15"/>
        <v>0.71</v>
      </c>
      <c r="M191" s="3">
        <f t="shared" si="16"/>
        <v>0.80999999999999994</v>
      </c>
      <c r="O191" t="str">
        <f t="shared" si="12"/>
        <v xml:space="preserve">    {@"YTTS",0.710,0.810},</v>
      </c>
      <c r="P191">
        <v>187</v>
      </c>
    </row>
    <row r="192" spans="1:16" x14ac:dyDescent="0.2">
      <c r="A192" t="s">
        <v>185</v>
      </c>
      <c r="B192">
        <v>0.54</v>
      </c>
      <c r="C192">
        <v>0.64</v>
      </c>
      <c r="G192" t="s">
        <v>151</v>
      </c>
      <c r="H192">
        <v>0.41</v>
      </c>
      <c r="I192">
        <v>0.51</v>
      </c>
      <c r="K192" t="s">
        <v>181</v>
      </c>
      <c r="L192" s="3">
        <f t="shared" si="15"/>
        <v>0.85</v>
      </c>
      <c r="M192" s="3">
        <f t="shared" si="16"/>
        <v>0.95</v>
      </c>
      <c r="O192" t="str">
        <f t="shared" si="12"/>
        <v xml:space="preserve">    {@"YTTSG",0.850,0.950},</v>
      </c>
      <c r="P192">
        <v>188</v>
      </c>
    </row>
    <row r="193" spans="1:16" x14ac:dyDescent="0.2">
      <c r="A193" t="s">
        <v>186</v>
      </c>
      <c r="B193">
        <v>0.65</v>
      </c>
      <c r="C193">
        <v>0.75</v>
      </c>
      <c r="G193" t="s">
        <v>152</v>
      </c>
      <c r="H193">
        <v>0.54</v>
      </c>
      <c r="I193">
        <v>0.64</v>
      </c>
      <c r="K193" t="s">
        <v>182</v>
      </c>
      <c r="L193" s="3">
        <f t="shared" si="15"/>
        <v>0.65</v>
      </c>
      <c r="M193" s="3">
        <f t="shared" si="16"/>
        <v>0.75</v>
      </c>
      <c r="O193" t="str">
        <f t="shared" si="12"/>
        <v xml:space="preserve">    {@"YXS",0.650,0.750},</v>
      </c>
      <c r="P193">
        <v>189</v>
      </c>
    </row>
    <row r="194" spans="1:16" x14ac:dyDescent="0.2">
      <c r="B194">
        <v>0</v>
      </c>
      <c r="C194">
        <v>0</v>
      </c>
      <c r="G194" t="s">
        <v>153</v>
      </c>
      <c r="H194">
        <v>0.56000000000000005</v>
      </c>
      <c r="I194">
        <v>0.66</v>
      </c>
      <c r="K194" t="s">
        <v>183</v>
      </c>
      <c r="L194" s="3">
        <f t="shared" si="15"/>
        <v>0.79</v>
      </c>
      <c r="M194" s="3">
        <f t="shared" si="16"/>
        <v>0.89</v>
      </c>
      <c r="O194" t="str">
        <f t="shared" si="12"/>
        <v xml:space="preserve">    {@"YXSG",0.790,0.890},</v>
      </c>
      <c r="P194">
        <v>190</v>
      </c>
    </row>
    <row r="195" spans="1:16" x14ac:dyDescent="0.2">
      <c r="G195" t="s">
        <v>154</v>
      </c>
      <c r="H195">
        <v>0.69</v>
      </c>
      <c r="I195">
        <v>0.79</v>
      </c>
      <c r="K195" t="s">
        <v>184</v>
      </c>
      <c r="L195" s="3">
        <f t="shared" si="15"/>
        <v>0.4</v>
      </c>
      <c r="M195" s="3">
        <f t="shared" si="16"/>
        <v>0.5</v>
      </c>
      <c r="O195" t="str">
        <f t="shared" ref="O195:O196" si="17">"    {@""" &amp;K195&amp;""","&amp;TEXT(L195,"0.000")&amp;","&amp;TEXT(M195,"0.000")&amp;"},"</f>
        <v xml:space="preserve">    {@"Z",0.400,0.500},</v>
      </c>
      <c r="P195">
        <v>191</v>
      </c>
    </row>
    <row r="196" spans="1:16" x14ac:dyDescent="0.2">
      <c r="G196" t="s">
        <v>155</v>
      </c>
      <c r="H196">
        <v>0.7</v>
      </c>
      <c r="I196">
        <v>0.8</v>
      </c>
      <c r="K196" t="s">
        <v>185</v>
      </c>
      <c r="L196" s="3">
        <f t="shared" ref="L196" si="18">VLOOKUP(K196,$A$2:$C$193,2,FALSE)</f>
        <v>0.54</v>
      </c>
      <c r="M196" s="3">
        <f t="shared" si="16"/>
        <v>0.64</v>
      </c>
      <c r="O196" t="str">
        <f t="shared" si="17"/>
        <v xml:space="preserve">    {@"ZG",0.540,0.640},</v>
      </c>
      <c r="P196">
        <v>192</v>
      </c>
    </row>
    <row r="197" spans="1:16" x14ac:dyDescent="0.2">
      <c r="G197" t="s">
        <v>156</v>
      </c>
      <c r="H197">
        <v>0.83</v>
      </c>
      <c r="I197">
        <v>0.93</v>
      </c>
      <c r="K197" s="2"/>
      <c r="L197" s="4"/>
      <c r="M197" s="4"/>
    </row>
    <row r="198" spans="1:16" x14ac:dyDescent="0.2">
      <c r="G198" t="s">
        <v>157</v>
      </c>
      <c r="H198">
        <v>0.53</v>
      </c>
      <c r="I198">
        <v>0.63</v>
      </c>
    </row>
    <row r="199" spans="1:16" x14ac:dyDescent="0.2">
      <c r="G199" t="s">
        <v>158</v>
      </c>
      <c r="H199">
        <v>0.66</v>
      </c>
      <c r="I199">
        <v>0.76</v>
      </c>
    </row>
    <row r="200" spans="1:16" x14ac:dyDescent="0.2">
      <c r="G200" t="s">
        <v>159</v>
      </c>
      <c r="H200">
        <v>0.67</v>
      </c>
      <c r="I200">
        <v>0.77</v>
      </c>
    </row>
    <row r="201" spans="1:16" x14ac:dyDescent="0.2">
      <c r="G201" t="s">
        <v>160</v>
      </c>
      <c r="H201">
        <v>0.8</v>
      </c>
      <c r="I201">
        <v>0.9</v>
      </c>
    </row>
    <row r="202" spans="1:16" x14ac:dyDescent="0.2">
      <c r="G202" t="s">
        <v>161</v>
      </c>
      <c r="H202">
        <v>0.64</v>
      </c>
      <c r="I202">
        <v>0.74</v>
      </c>
    </row>
    <row r="203" spans="1:16" x14ac:dyDescent="0.2">
      <c r="G203" t="s">
        <v>162</v>
      </c>
      <c r="H203">
        <v>0.77</v>
      </c>
      <c r="I203">
        <v>0.87</v>
      </c>
    </row>
    <row r="204" spans="1:16" x14ac:dyDescent="0.2">
      <c r="G204" t="s">
        <v>163</v>
      </c>
      <c r="H204">
        <v>0.72</v>
      </c>
      <c r="I204">
        <v>0.82</v>
      </c>
    </row>
    <row r="205" spans="1:16" x14ac:dyDescent="0.2">
      <c r="G205" t="s">
        <v>164</v>
      </c>
      <c r="H205">
        <v>0.85</v>
      </c>
      <c r="I205">
        <v>0.95</v>
      </c>
    </row>
    <row r="206" spans="1:16" x14ac:dyDescent="0.2">
      <c r="G206" t="s">
        <v>165</v>
      </c>
      <c r="H206">
        <v>0.72</v>
      </c>
      <c r="I206">
        <v>0.82</v>
      </c>
    </row>
    <row r="207" spans="1:16" x14ac:dyDescent="0.2">
      <c r="G207" t="s">
        <v>166</v>
      </c>
      <c r="H207">
        <v>0.85</v>
      </c>
      <c r="I207">
        <v>0.95</v>
      </c>
    </row>
    <row r="208" spans="1:16" x14ac:dyDescent="0.2">
      <c r="G208" t="s">
        <v>167</v>
      </c>
      <c r="H208">
        <v>0.75</v>
      </c>
      <c r="I208">
        <v>0.85</v>
      </c>
    </row>
    <row r="209" spans="7:9" x14ac:dyDescent="0.2">
      <c r="G209" t="s">
        <v>168</v>
      </c>
      <c r="H209">
        <v>0.41</v>
      </c>
      <c r="I209">
        <v>0.51</v>
      </c>
    </row>
    <row r="210" spans="7:9" x14ac:dyDescent="0.2">
      <c r="G210" t="s">
        <v>169</v>
      </c>
      <c r="H210">
        <v>0.54</v>
      </c>
      <c r="I210">
        <v>0.64</v>
      </c>
    </row>
    <row r="211" spans="7:9" x14ac:dyDescent="0.2">
      <c r="G211" t="s">
        <v>170</v>
      </c>
      <c r="H211">
        <v>0.56000000000000005</v>
      </c>
      <c r="I211">
        <v>0.66</v>
      </c>
    </row>
    <row r="212" spans="7:9" x14ac:dyDescent="0.2">
      <c r="G212" t="s">
        <v>171</v>
      </c>
      <c r="H212">
        <v>0.69</v>
      </c>
      <c r="I212">
        <v>0.79</v>
      </c>
    </row>
    <row r="213" spans="7:9" x14ac:dyDescent="0.2">
      <c r="G213" t="s">
        <v>172</v>
      </c>
      <c r="H213">
        <v>0.7</v>
      </c>
      <c r="I213">
        <v>0.8</v>
      </c>
    </row>
    <row r="214" spans="7:9" x14ac:dyDescent="0.2">
      <c r="G214" t="s">
        <v>173</v>
      </c>
      <c r="H214">
        <v>0.83</v>
      </c>
      <c r="I214">
        <v>0.93</v>
      </c>
    </row>
    <row r="215" spans="7:9" x14ac:dyDescent="0.2">
      <c r="G215" t="s">
        <v>174</v>
      </c>
      <c r="H215">
        <v>0.53</v>
      </c>
      <c r="I215">
        <v>0.63</v>
      </c>
    </row>
    <row r="216" spans="7:9" x14ac:dyDescent="0.2">
      <c r="G216" t="s">
        <v>174</v>
      </c>
      <c r="H216">
        <v>0.53</v>
      </c>
      <c r="I216">
        <v>0.63</v>
      </c>
    </row>
    <row r="217" spans="7:9" x14ac:dyDescent="0.2">
      <c r="G217" t="s">
        <v>175</v>
      </c>
      <c r="H217">
        <v>0.66</v>
      </c>
      <c r="I217">
        <v>0.76</v>
      </c>
    </row>
    <row r="218" spans="7:9" x14ac:dyDescent="0.2">
      <c r="G218" t="s">
        <v>175</v>
      </c>
      <c r="H218">
        <v>0.66</v>
      </c>
      <c r="I218">
        <v>0.76</v>
      </c>
    </row>
    <row r="219" spans="7:9" x14ac:dyDescent="0.2">
      <c r="G219" t="s">
        <v>176</v>
      </c>
      <c r="H219">
        <v>0.53</v>
      </c>
      <c r="I219">
        <v>0.63</v>
      </c>
    </row>
    <row r="220" spans="7:9" x14ac:dyDescent="0.2">
      <c r="G220" t="s">
        <v>177</v>
      </c>
      <c r="H220">
        <v>0.66</v>
      </c>
      <c r="I220">
        <v>0.76</v>
      </c>
    </row>
    <row r="221" spans="7:9" x14ac:dyDescent="0.2">
      <c r="G221" t="s">
        <v>178</v>
      </c>
      <c r="H221">
        <v>0.64</v>
      </c>
      <c r="I221">
        <v>0.74</v>
      </c>
    </row>
    <row r="222" spans="7:9" x14ac:dyDescent="0.2">
      <c r="G222" t="s">
        <v>179</v>
      </c>
      <c r="H222">
        <v>0.77</v>
      </c>
      <c r="I222">
        <v>0.87</v>
      </c>
    </row>
    <row r="223" spans="7:9" x14ac:dyDescent="0.2">
      <c r="G223" t="s">
        <v>180</v>
      </c>
      <c r="H223">
        <v>0.72</v>
      </c>
      <c r="I223">
        <v>0.82</v>
      </c>
    </row>
    <row r="224" spans="7:9" x14ac:dyDescent="0.2">
      <c r="G224" t="s">
        <v>181</v>
      </c>
      <c r="H224">
        <v>0.85</v>
      </c>
      <c r="I224">
        <v>0.95</v>
      </c>
    </row>
    <row r="225" spans="7:9" x14ac:dyDescent="0.2">
      <c r="G225" t="s">
        <v>182</v>
      </c>
      <c r="H225">
        <v>0.67</v>
      </c>
      <c r="I225">
        <v>0.77</v>
      </c>
    </row>
    <row r="226" spans="7:9" x14ac:dyDescent="0.2">
      <c r="G226" t="s">
        <v>183</v>
      </c>
      <c r="H226">
        <v>0.8</v>
      </c>
      <c r="I226">
        <v>0.9</v>
      </c>
    </row>
    <row r="227" spans="7:9" x14ac:dyDescent="0.2">
      <c r="G227" t="s">
        <v>184</v>
      </c>
      <c r="H227">
        <v>0.4</v>
      </c>
      <c r="I227">
        <v>0.5</v>
      </c>
    </row>
    <row r="228" spans="7:9" x14ac:dyDescent="0.2">
      <c r="G228" t="s">
        <v>185</v>
      </c>
      <c r="H228">
        <v>0.53</v>
      </c>
      <c r="I228">
        <v>0.63</v>
      </c>
    </row>
    <row r="229" spans="7:9" x14ac:dyDescent="0.2">
      <c r="G229">
        <v>10</v>
      </c>
      <c r="H229">
        <v>1.02</v>
      </c>
      <c r="I229">
        <v>1.1200000000000001</v>
      </c>
    </row>
    <row r="230" spans="7:9" x14ac:dyDescent="0.2">
      <c r="G230" t="s">
        <v>11</v>
      </c>
      <c r="H230">
        <v>1.1499999999999999</v>
      </c>
      <c r="I230">
        <v>1.27</v>
      </c>
    </row>
    <row r="231" spans="7:9" x14ac:dyDescent="0.2">
      <c r="G231" t="s">
        <v>10</v>
      </c>
      <c r="H231">
        <v>1.05</v>
      </c>
      <c r="I231">
        <v>1.1499999999999999</v>
      </c>
    </row>
    <row r="232" spans="7:9" x14ac:dyDescent="0.2">
      <c r="G232" s="1" t="s">
        <v>222</v>
      </c>
      <c r="H232">
        <v>1.18</v>
      </c>
      <c r="I232">
        <v>1.3</v>
      </c>
    </row>
    <row r="233" spans="7:9" x14ac:dyDescent="0.2">
      <c r="G233" s="1" t="s">
        <v>223</v>
      </c>
      <c r="H233">
        <v>1.08</v>
      </c>
      <c r="I233">
        <v>1.18</v>
      </c>
    </row>
    <row r="234" spans="7:9" x14ac:dyDescent="0.2">
      <c r="G234" s="1" t="s">
        <v>224</v>
      </c>
      <c r="H234">
        <v>1.21</v>
      </c>
      <c r="I234">
        <v>1.33</v>
      </c>
    </row>
  </sheetData>
  <sortState xmlns:xlrd2="http://schemas.microsoft.com/office/spreadsheetml/2017/richdata2" ref="K37:M196">
    <sortCondition ref="K37:K196"/>
  </sortState>
  <phoneticPr fontId="1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B24B-BB87-9643-9B12-440834E2FDDC}">
  <dimension ref="A1:M208"/>
  <sheetViews>
    <sheetView tabSelected="1" topLeftCell="A42" zoomScale="150" zoomScaleNormal="150" workbookViewId="0">
      <selection activeCell="A56" sqref="A56:XFD64"/>
    </sheetView>
  </sheetViews>
  <sheetFormatPr defaultColWidth="11.19921875" defaultRowHeight="12" x14ac:dyDescent="0.2"/>
  <cols>
    <col min="5" max="5" width="21.19921875" bestFit="1" customWidth="1"/>
  </cols>
  <sheetData>
    <row r="1" spans="1:13" x14ac:dyDescent="0.2">
      <c r="A1" t="s">
        <v>0</v>
      </c>
      <c r="E1" t="str">
        <f>"    {@""" &amp;A1&amp;""","&amp;TEXT(B1,"0.000")&amp;","&amp;TEXT(C1,"0.000")&amp;"},"</f>
        <v xml:space="preserve">    {@"-",0.000,0.000},</v>
      </c>
      <c r="F1">
        <v>0</v>
      </c>
    </row>
    <row r="2" spans="1:13" s="21" customFormat="1" ht="12.5" x14ac:dyDescent="0.25">
      <c r="A2" s="53" t="s">
        <v>237</v>
      </c>
      <c r="B2" s="34">
        <v>0.68</v>
      </c>
      <c r="C2" s="32">
        <v>0.78</v>
      </c>
      <c r="D2"/>
      <c r="E2" t="str">
        <f t="shared" ref="E2:E14" si="0">"    {@""" &amp;A2&amp;""","&amp;TEXT(B2,"0.000")&amp;","&amp;TEXT(C2,"0.000")&amp;"},"</f>
        <v xml:space="preserve">    {@"3o",0.680,0.780},</v>
      </c>
      <c r="F2">
        <v>6</v>
      </c>
      <c r="G2" s="7"/>
      <c r="H2" s="24" t="s">
        <v>238</v>
      </c>
      <c r="J2" s="21">
        <v>0.68</v>
      </c>
    </row>
    <row r="3" spans="1:13" s="21" customFormat="1" ht="12.5" x14ac:dyDescent="0.25">
      <c r="A3" s="53" t="s">
        <v>239</v>
      </c>
      <c r="B3" s="34">
        <v>0.73</v>
      </c>
      <c r="C3" s="32">
        <v>0.83</v>
      </c>
      <c r="D3"/>
      <c r="E3" t="str">
        <f t="shared" si="0"/>
        <v xml:space="preserve">    {@"3og",0.730,0.830},</v>
      </c>
      <c r="F3">
        <v>6</v>
      </c>
      <c r="G3" s="7"/>
      <c r="H3" s="24" t="s">
        <v>235</v>
      </c>
      <c r="J3" s="21">
        <v>0.73</v>
      </c>
    </row>
    <row r="4" spans="1:13" s="21" customFormat="1" ht="12.5" x14ac:dyDescent="0.25">
      <c r="A4" s="53" t="s">
        <v>4</v>
      </c>
      <c r="B4" s="34">
        <v>0.8</v>
      </c>
      <c r="C4" s="32">
        <v>0.9</v>
      </c>
      <c r="D4"/>
      <c r="E4" t="str">
        <f t="shared" si="0"/>
        <v xml:space="preserve">    {@"3oG",0.800,0.900},</v>
      </c>
      <c r="F4">
        <v>6</v>
      </c>
      <c r="G4" s="7"/>
      <c r="H4" s="24" t="s">
        <v>236</v>
      </c>
      <c r="J4" s="21">
        <v>0.8</v>
      </c>
    </row>
    <row r="5" spans="1:13" s="21" customFormat="1" ht="12.5" x14ac:dyDescent="0.25">
      <c r="A5" s="53" t="s">
        <v>228</v>
      </c>
      <c r="B5" s="31">
        <v>0.71</v>
      </c>
      <c r="C5" s="32">
        <v>0.81</v>
      </c>
      <c r="D5"/>
      <c r="E5" t="str">
        <f t="shared" si="0"/>
        <v xml:space="preserve">    {@"3op",0.710,0.810},</v>
      </c>
      <c r="F5">
        <v>6</v>
      </c>
      <c r="G5" s="7"/>
      <c r="H5" s="24"/>
    </row>
    <row r="6" spans="1:13" s="21" customFormat="1" ht="12.5" x14ac:dyDescent="0.25">
      <c r="A6" s="53" t="s">
        <v>243</v>
      </c>
      <c r="B6" s="34">
        <v>0.92</v>
      </c>
      <c r="C6" s="32">
        <v>1.02</v>
      </c>
      <c r="D6"/>
      <c r="E6" t="str">
        <f t="shared" si="0"/>
        <v xml:space="preserve">    {@"7og",0.920,1.020},</v>
      </c>
      <c r="F6">
        <v>6</v>
      </c>
      <c r="G6" s="7"/>
      <c r="H6" s="24" t="s">
        <v>241</v>
      </c>
      <c r="J6" s="21">
        <v>0.92</v>
      </c>
    </row>
    <row r="7" spans="1:13" s="21" customFormat="1" ht="12.5" x14ac:dyDescent="0.25">
      <c r="A7" s="53" t="s">
        <v>8</v>
      </c>
      <c r="B7" s="34">
        <v>0.99</v>
      </c>
      <c r="C7" s="32">
        <v>1.0900000000000001</v>
      </c>
      <c r="D7"/>
      <c r="E7" t="str">
        <f t="shared" si="0"/>
        <v xml:space="preserve">    {@"7oG",0.990,1.090},</v>
      </c>
      <c r="F7">
        <v>6</v>
      </c>
      <c r="G7" s="7"/>
      <c r="H7" s="24" t="s">
        <v>242</v>
      </c>
      <c r="J7" s="21">
        <v>0.99</v>
      </c>
    </row>
    <row r="8" spans="1:13" s="21" customFormat="1" ht="12.5" x14ac:dyDescent="0.25">
      <c r="A8" s="53" t="s">
        <v>9</v>
      </c>
      <c r="B8" s="31">
        <v>0.88</v>
      </c>
      <c r="C8" s="32">
        <v>0.98</v>
      </c>
      <c r="D8"/>
      <c r="E8" t="str">
        <f t="shared" si="0"/>
        <v xml:space="preserve">    {@"7op",0.880,0.980},</v>
      </c>
      <c r="F8">
        <v>6</v>
      </c>
      <c r="G8" s="7"/>
      <c r="H8" s="24"/>
    </row>
    <row r="9" spans="1:13" s="21" customFormat="1" ht="12.5" x14ac:dyDescent="0.25">
      <c r="A9" s="53" t="s">
        <v>247</v>
      </c>
      <c r="B9" s="34">
        <v>1.1100000000000001</v>
      </c>
      <c r="C9" s="32">
        <v>1.21</v>
      </c>
      <c r="D9"/>
      <c r="E9" t="str">
        <f t="shared" si="0"/>
        <v xml:space="preserve">    {@"10og",1.110,1.210},</v>
      </c>
      <c r="F9">
        <v>6</v>
      </c>
      <c r="G9" s="7"/>
      <c r="H9" s="24" t="s">
        <v>248</v>
      </c>
      <c r="J9" s="21">
        <v>1.1100000000000001</v>
      </c>
    </row>
    <row r="10" spans="1:13" s="21" customFormat="1" ht="12.5" x14ac:dyDescent="0.25">
      <c r="A10" s="53" t="s">
        <v>13</v>
      </c>
      <c r="B10" s="34">
        <v>1.18</v>
      </c>
      <c r="C10" s="32">
        <v>1.28</v>
      </c>
      <c r="D10"/>
      <c r="E10" t="str">
        <f t="shared" si="0"/>
        <v xml:space="preserve">    {@"10oG",1.180,1.280},</v>
      </c>
      <c r="F10">
        <v>6</v>
      </c>
      <c r="G10" s="7"/>
      <c r="H10" s="24" t="s">
        <v>246</v>
      </c>
      <c r="J10" s="21">
        <v>1.18</v>
      </c>
    </row>
    <row r="11" spans="1:13" s="21" customFormat="1" ht="12.5" x14ac:dyDescent="0.25">
      <c r="A11" s="53" t="s">
        <v>14</v>
      </c>
      <c r="B11" s="31">
        <v>1.05</v>
      </c>
      <c r="C11" s="32">
        <v>1.1499999999999999</v>
      </c>
      <c r="D11"/>
      <c r="E11" t="str">
        <f t="shared" si="0"/>
        <v xml:space="preserve">    {@"10op",1.050,1.150},</v>
      </c>
      <c r="F11">
        <v>6</v>
      </c>
      <c r="G11" s="7"/>
      <c r="H11" s="24"/>
    </row>
    <row r="12" spans="1:13" s="21" customFormat="1" ht="12.5" x14ac:dyDescent="0.25">
      <c r="A12" s="53" t="s">
        <v>16</v>
      </c>
      <c r="B12" s="31">
        <v>1.22</v>
      </c>
      <c r="C12" s="32">
        <v>1.32</v>
      </c>
      <c r="D12"/>
      <c r="E12" t="str">
        <f t="shared" si="0"/>
        <v xml:space="preserve">    {@"14op",1.220,1.320},</v>
      </c>
      <c r="F12">
        <v>6</v>
      </c>
      <c r="G12" s="7"/>
      <c r="H12" s="24"/>
    </row>
    <row r="13" spans="1:13" s="21" customFormat="1" ht="12.5" x14ac:dyDescent="0.25">
      <c r="A13" s="53" t="s">
        <v>249</v>
      </c>
      <c r="B13" s="34">
        <v>1.3</v>
      </c>
      <c r="C13" s="32">
        <v>1.4</v>
      </c>
      <c r="D13"/>
      <c r="E13" t="str">
        <f t="shared" si="0"/>
        <v xml:space="preserve">    {@"14og",1.300,1.400},</v>
      </c>
      <c r="F13">
        <v>6</v>
      </c>
      <c r="G13" s="7"/>
      <c r="H13" s="24" t="s">
        <v>250</v>
      </c>
      <c r="J13" s="21">
        <v>1.3</v>
      </c>
    </row>
    <row r="14" spans="1:13" s="21" customFormat="1" ht="12.5" x14ac:dyDescent="0.25">
      <c r="A14" s="53" t="s">
        <v>17</v>
      </c>
      <c r="B14" s="34">
        <v>1.37</v>
      </c>
      <c r="C14" s="32">
        <v>1.47</v>
      </c>
      <c r="D14"/>
      <c r="E14" t="str">
        <f t="shared" si="0"/>
        <v xml:space="preserve">    {@"14oG",1.370,1.470},</v>
      </c>
      <c r="F14">
        <v>6</v>
      </c>
      <c r="G14" s="7"/>
      <c r="H14" s="24" t="s">
        <v>251</v>
      </c>
      <c r="J14" s="21">
        <v>1.37</v>
      </c>
    </row>
    <row r="15" spans="1:13" s="21" customFormat="1" ht="12.5" x14ac:dyDescent="0.25">
      <c r="A15" s="53" t="s">
        <v>31</v>
      </c>
      <c r="B15" s="39">
        <v>0.68</v>
      </c>
      <c r="C15" s="32">
        <v>0.78</v>
      </c>
      <c r="D15"/>
      <c r="E15" t="str">
        <f>"    {@""" &amp;A15&amp;""","&amp;TEXT(B15,"0.000")&amp;","&amp;TEXT(C15,"0.000")&amp;"},"</f>
        <v xml:space="preserve">    {@"l",0.680,0.780},</v>
      </c>
      <c r="F15">
        <v>6</v>
      </c>
      <c r="G15" s="7"/>
      <c r="H15" s="23"/>
      <c r="I15" s="24"/>
      <c r="M15" s="24"/>
    </row>
    <row r="16" spans="1:13" s="21" customFormat="1" ht="12.5" x14ac:dyDescent="0.25">
      <c r="A16" s="57" t="s">
        <v>32</v>
      </c>
      <c r="B16" s="39">
        <v>0.71</v>
      </c>
      <c r="C16" s="32">
        <v>0.81</v>
      </c>
      <c r="D16"/>
      <c r="E16" t="str">
        <f>"    {@""" &amp;A16&amp;""","&amp;TEXT(B16,"0.000")&amp;","&amp;TEXT(C16,"0.000")&amp;"},"</f>
        <v xml:space="preserve">    {@"lp",0.710,0.810},</v>
      </c>
      <c r="F16">
        <v>6</v>
      </c>
      <c r="G16" s="7"/>
      <c r="H16" s="23"/>
      <c r="I16" s="24"/>
      <c r="M16" s="24"/>
    </row>
    <row r="17" spans="1:13" s="21" customFormat="1" ht="12.5" x14ac:dyDescent="0.25">
      <c r="A17" s="56" t="s">
        <v>261</v>
      </c>
      <c r="B17" s="34">
        <v>0.73</v>
      </c>
      <c r="C17" s="32">
        <v>0.83</v>
      </c>
      <c r="D17"/>
      <c r="E17" t="str">
        <f>"    {@""" &amp;A17&amp;""","&amp;TEXT(B17,"0.000")&amp;","&amp;TEXT(C17,"0.000")&amp;"},"</f>
        <v xml:space="preserve">    {@"lg",0.730,0.830},</v>
      </c>
      <c r="F17">
        <v>6</v>
      </c>
      <c r="G17" s="7"/>
      <c r="H17" s="23" t="s">
        <v>235</v>
      </c>
      <c r="I17" s="24"/>
      <c r="J17" s="21">
        <v>0.73</v>
      </c>
      <c r="M17" s="24"/>
    </row>
    <row r="18" spans="1:13" s="21" customFormat="1" ht="12.5" x14ac:dyDescent="0.25">
      <c r="A18" s="53" t="s">
        <v>230</v>
      </c>
      <c r="B18" s="34">
        <v>0.8</v>
      </c>
      <c r="C18" s="32">
        <v>0.9</v>
      </c>
      <c r="D18"/>
      <c r="E18" t="str">
        <f>"    {@""" &amp;A18&amp;""","&amp;TEXT(B18,"0.000")&amp;","&amp;TEXT(C18,"0.000")&amp;"},"</f>
        <v xml:space="preserve">    {@"lG",0.800,0.900},</v>
      </c>
      <c r="F18">
        <v>6</v>
      </c>
      <c r="G18" s="7"/>
      <c r="H18" s="23" t="s">
        <v>236</v>
      </c>
      <c r="I18" s="24"/>
      <c r="J18" s="21">
        <v>0.8</v>
      </c>
      <c r="M18" s="24"/>
    </row>
    <row r="19" spans="1:13" s="21" customFormat="1" ht="12.5" x14ac:dyDescent="0.25">
      <c r="A19" s="53" t="s">
        <v>34</v>
      </c>
      <c r="B19" s="39">
        <v>0.85</v>
      </c>
      <c r="C19" s="32">
        <v>0.95</v>
      </c>
      <c r="D19"/>
      <c r="E19" t="str">
        <f>"    {@""" &amp;A19&amp;""","&amp;TEXT(B19,"0.000")&amp;","&amp;TEXT(C19,"0.000")&amp;"},"</f>
        <v xml:space="preserve">    {@"lF",0.850,0.950},</v>
      </c>
      <c r="F19">
        <v>6</v>
      </c>
      <c r="G19" s="7"/>
      <c r="H19" s="23"/>
      <c r="I19" s="24"/>
      <c r="M19" s="24"/>
    </row>
    <row r="20" spans="1:13" s="21" customFormat="1" ht="12.5" x14ac:dyDescent="0.25">
      <c r="A20" s="53" t="s">
        <v>35</v>
      </c>
      <c r="B20" s="39">
        <v>0.88</v>
      </c>
      <c r="C20" s="32">
        <v>0.98</v>
      </c>
      <c r="D20"/>
      <c r="E20" t="str">
        <f>"    {@""" &amp;A20&amp;""","&amp;TEXT(B20,"0.000")&amp;","&amp;TEXT(C20,"0.000")&amp;"},"</f>
        <v xml:space="preserve">    {@"lpF",0.880,0.980},</v>
      </c>
      <c r="F20">
        <v>6</v>
      </c>
      <c r="G20" s="7"/>
      <c r="H20" s="23"/>
      <c r="I20" s="24"/>
      <c r="M20" s="24"/>
    </row>
    <row r="21" spans="1:13" s="21" customFormat="1" ht="12.5" x14ac:dyDescent="0.25">
      <c r="A21" s="53" t="s">
        <v>262</v>
      </c>
      <c r="B21" s="34">
        <v>0.92</v>
      </c>
      <c r="C21" s="32">
        <v>1.02</v>
      </c>
      <c r="D21"/>
      <c r="E21" t="str">
        <f>"    {@""" &amp;A21&amp;""","&amp;TEXT(B21,"0.000")&amp;","&amp;TEXT(C21,"0.000")&amp;"},"</f>
        <v xml:space="preserve">    {@"lgF",0.920,1.020},</v>
      </c>
      <c r="F21">
        <v>6</v>
      </c>
      <c r="G21" s="7"/>
      <c r="H21" s="23" t="s">
        <v>241</v>
      </c>
      <c r="I21" s="24"/>
      <c r="J21" s="21">
        <v>0.92</v>
      </c>
      <c r="M21" s="24"/>
    </row>
    <row r="22" spans="1:13" s="21" customFormat="1" ht="12.5" x14ac:dyDescent="0.25">
      <c r="A22" s="53" t="s">
        <v>36</v>
      </c>
      <c r="B22" s="34">
        <v>0.99</v>
      </c>
      <c r="C22" s="32">
        <v>1.0900000000000001</v>
      </c>
      <c r="D22"/>
      <c r="E22" t="str">
        <f>"    {@""" &amp;A22&amp;""","&amp;TEXT(B22,"0.000")&amp;","&amp;TEXT(C22,"0.000")&amp;"},"</f>
        <v xml:space="preserve">    {@"lGF",0.990,1.090},</v>
      </c>
      <c r="F22">
        <v>6</v>
      </c>
      <c r="G22" s="7"/>
      <c r="H22" s="23" t="s">
        <v>242</v>
      </c>
      <c r="I22" s="24"/>
      <c r="J22" s="21">
        <v>0.99</v>
      </c>
      <c r="M22" s="24"/>
    </row>
    <row r="23" spans="1:13" x14ac:dyDescent="0.2">
      <c r="A23" t="s">
        <v>0</v>
      </c>
    </row>
    <row r="24" spans="1:13" s="21" customFormat="1" ht="12.5" x14ac:dyDescent="0.25">
      <c r="A24" s="53" t="s">
        <v>18</v>
      </c>
      <c r="B24" s="31">
        <v>0.68</v>
      </c>
      <c r="C24" s="32">
        <v>0.78</v>
      </c>
      <c r="D24"/>
      <c r="E24" t="str">
        <f>"    {@""" &amp;A24&amp;""","&amp;TEXT(B24,"0.000")&amp;","&amp;TEXT(C24,"0.000")&amp;"},"</f>
        <v xml:space="preserve">    {@"bT",0.680,0.780},</v>
      </c>
      <c r="F24">
        <v>6</v>
      </c>
      <c r="G24" s="7"/>
      <c r="H24" s="23"/>
      <c r="I24" s="24"/>
      <c r="M24" s="24"/>
    </row>
    <row r="25" spans="1:13" s="21" customFormat="1" ht="12.5" x14ac:dyDescent="0.25">
      <c r="A25" s="54" t="s">
        <v>19</v>
      </c>
      <c r="B25" s="31">
        <v>0.71</v>
      </c>
      <c r="C25" s="32">
        <v>0.81</v>
      </c>
      <c r="D25"/>
      <c r="E25" t="str">
        <f>"    {@""" &amp;A25&amp;""","&amp;TEXT(B25,"0.000")&amp;","&amp;TEXT(C25,"0.000")&amp;"},"</f>
        <v xml:space="preserve">    {@"bL",0.710,0.810},</v>
      </c>
      <c r="F25">
        <v>6</v>
      </c>
      <c r="G25" s="7"/>
      <c r="H25" s="23"/>
      <c r="I25" s="24"/>
      <c r="M25" s="24"/>
    </row>
    <row r="26" spans="1:13" s="21" customFormat="1" ht="12.5" x14ac:dyDescent="0.25">
      <c r="A26" s="54" t="s">
        <v>20</v>
      </c>
      <c r="B26" s="31">
        <v>0.71</v>
      </c>
      <c r="C26" s="32">
        <v>0.81</v>
      </c>
      <c r="D26"/>
      <c r="E26" t="str">
        <f>"    {@""" &amp;A26&amp;""","&amp;TEXT(B26,"0.000")&amp;","&amp;TEXT(C26,"0.000")&amp;"},"</f>
        <v xml:space="preserve">    {@"bp",0.710,0.810},</v>
      </c>
      <c r="F26">
        <v>6</v>
      </c>
      <c r="G26" s="7"/>
      <c r="H26" s="23"/>
      <c r="I26" s="24"/>
      <c r="M26" s="24"/>
    </row>
    <row r="27" spans="1:13" s="21" customFormat="1" ht="12.5" x14ac:dyDescent="0.25">
      <c r="A27" s="54" t="s">
        <v>252</v>
      </c>
      <c r="B27" s="31">
        <v>0.74</v>
      </c>
      <c r="C27" s="32">
        <v>0.84</v>
      </c>
      <c r="D27"/>
      <c r="E27" t="str">
        <f>"    {@""" &amp;A27&amp;""","&amp;TEXT(B27,"0.000")&amp;","&amp;TEXT(C27,"0.000")&amp;"},"</f>
        <v xml:space="preserve">    {@"bpp",0.740,0.840},</v>
      </c>
      <c r="F27">
        <v>6</v>
      </c>
      <c r="G27" s="7"/>
      <c r="H27" s="23"/>
      <c r="I27" s="24"/>
      <c r="M27" s="24"/>
    </row>
    <row r="28" spans="1:13" s="21" customFormat="1" ht="12.5" x14ac:dyDescent="0.25">
      <c r="A28" s="54" t="s">
        <v>253</v>
      </c>
      <c r="B28" s="31">
        <v>0.77</v>
      </c>
      <c r="C28" s="32">
        <v>0.87</v>
      </c>
      <c r="D28"/>
      <c r="E28" t="str">
        <f>"    {@""" &amp;A28&amp;""","&amp;TEXT(B28,"0.000")&amp;","&amp;TEXT(C28,"0.000")&amp;"},"</f>
        <v xml:space="preserve">    {@"bppp",0.770,0.870},</v>
      </c>
      <c r="F28">
        <v>6</v>
      </c>
      <c r="G28" s="7"/>
      <c r="H28" s="23"/>
      <c r="I28" s="24"/>
      <c r="M28" s="24"/>
    </row>
    <row r="29" spans="1:13" s="21" customFormat="1" ht="12.5" x14ac:dyDescent="0.25">
      <c r="A29" s="55" t="s">
        <v>21</v>
      </c>
      <c r="B29" s="31">
        <v>0.68</v>
      </c>
      <c r="C29" s="32">
        <v>0.78</v>
      </c>
      <c r="D29"/>
      <c r="E29" t="str">
        <f>"    {@""" &amp;A29&amp;""","&amp;TEXT(B29,"0.000")&amp;","&amp;TEXT(C29,"0.000")&amp;"},"</f>
        <v xml:space="preserve">    {@"bP",0.680,0.780},</v>
      </c>
      <c r="F29">
        <v>6</v>
      </c>
      <c r="G29" s="7"/>
      <c r="H29" s="23"/>
      <c r="I29" s="24"/>
      <c r="M29" s="24"/>
    </row>
    <row r="30" spans="1:13" s="21" customFormat="1" ht="12.5" x14ac:dyDescent="0.25">
      <c r="A30" s="54" t="s">
        <v>254</v>
      </c>
      <c r="B30" s="34">
        <v>0.73</v>
      </c>
      <c r="C30" s="32">
        <v>0.83</v>
      </c>
      <c r="D30"/>
      <c r="E30" t="str">
        <f>"    {@""" &amp;A30&amp;""","&amp;TEXT(B30,"0.000")&amp;","&amp;TEXT(C30,"0.000")&amp;"},"</f>
        <v xml:space="preserve">    {@"bg",0.730,0.830},</v>
      </c>
      <c r="F30">
        <v>6</v>
      </c>
      <c r="G30" s="7"/>
      <c r="H30" s="23" t="s">
        <v>235</v>
      </c>
      <c r="I30" s="24"/>
      <c r="J30" s="21">
        <v>0.73</v>
      </c>
      <c r="M30" s="24"/>
    </row>
    <row r="31" spans="1:13" s="21" customFormat="1" ht="12.5" x14ac:dyDescent="0.25">
      <c r="A31" s="54" t="s">
        <v>22</v>
      </c>
      <c r="B31" s="34">
        <v>0.8</v>
      </c>
      <c r="C31" s="32">
        <v>0.9</v>
      </c>
      <c r="D31"/>
      <c r="E31" t="str">
        <f>"    {@""" &amp;A31&amp;""","&amp;TEXT(B31,"0.000")&amp;","&amp;TEXT(C31,"0.000")&amp;"},"</f>
        <v xml:space="preserve">    {@"bG",0.800,0.900},</v>
      </c>
      <c r="F31">
        <v>6</v>
      </c>
      <c r="G31" s="7"/>
      <c r="H31" s="23" t="s">
        <v>236</v>
      </c>
      <c r="I31" s="24"/>
      <c r="J31" s="21">
        <v>0.8</v>
      </c>
      <c r="M31" s="24"/>
    </row>
    <row r="32" spans="1:13" s="21" customFormat="1" ht="12.5" x14ac:dyDescent="0.25">
      <c r="A32" s="54" t="s">
        <v>23</v>
      </c>
      <c r="B32" s="34">
        <v>0.9</v>
      </c>
      <c r="C32" s="32">
        <v>1</v>
      </c>
      <c r="D32"/>
      <c r="E32" t="str">
        <f>"    {@""" &amp;A32&amp;""","&amp;TEXT(B32,"0.000")&amp;","&amp;TEXT(C32,"0.000")&amp;"},"</f>
        <v xml:space="preserve">    {@"bF",0.900,1.000},</v>
      </c>
      <c r="F32">
        <v>6</v>
      </c>
      <c r="G32" s="7"/>
      <c r="H32" s="23" t="s">
        <v>255</v>
      </c>
      <c r="I32" s="24"/>
      <c r="J32" s="21">
        <v>0.9</v>
      </c>
      <c r="M32" s="24"/>
    </row>
    <row r="33" spans="1:13" s="21" customFormat="1" ht="12.5" x14ac:dyDescent="0.25">
      <c r="A33" s="54" t="s">
        <v>24</v>
      </c>
      <c r="B33" s="34">
        <v>1.0900000000000001</v>
      </c>
      <c r="C33" s="32">
        <v>1.19</v>
      </c>
      <c r="D33"/>
      <c r="E33" t="str">
        <f>"    {@""" &amp;A33&amp;""","&amp;TEXT(B33,"0.000")&amp;","&amp;TEXT(C33,"0.000")&amp;"},"</f>
        <v xml:space="preserve">    {@"bdF",1.090,1.190},</v>
      </c>
      <c r="F33">
        <v>6</v>
      </c>
      <c r="G33" s="7"/>
      <c r="H33" s="23" t="s">
        <v>256</v>
      </c>
      <c r="I33" s="24"/>
      <c r="J33" s="21">
        <v>1.0900000000000001</v>
      </c>
      <c r="M33" s="24"/>
    </row>
    <row r="34" spans="1:13" s="21" customFormat="1" ht="12.5" x14ac:dyDescent="0.25">
      <c r="A34" s="53" t="s">
        <v>25</v>
      </c>
      <c r="B34" s="34">
        <v>1.28</v>
      </c>
      <c r="C34" s="32">
        <v>1.38</v>
      </c>
      <c r="D34"/>
      <c r="E34" t="str">
        <f>"    {@""" &amp;A34&amp;""","&amp;TEXT(B34,"0.000")&amp;","&amp;TEXT(C34,"0.000")&amp;"},"</f>
        <v xml:space="preserve">    {@"btF",1.280,1.380},</v>
      </c>
      <c r="F34">
        <v>6</v>
      </c>
      <c r="G34" s="7"/>
      <c r="H34" s="23" t="s">
        <v>257</v>
      </c>
      <c r="I34" s="24"/>
      <c r="J34" s="21">
        <v>1.28</v>
      </c>
      <c r="M34" s="24"/>
    </row>
    <row r="35" spans="1:13" s="21" customFormat="1" ht="12.5" x14ac:dyDescent="0.25">
      <c r="A35" s="53" t="s">
        <v>26</v>
      </c>
      <c r="B35" s="39">
        <v>0.68</v>
      </c>
      <c r="C35" s="32">
        <v>0.78</v>
      </c>
      <c r="D35"/>
      <c r="E35" t="str">
        <f>"    {@""" &amp;A35&amp;""","&amp;TEXT(B35,"0.000")&amp;","&amp;TEXT(C35,"0.000")&amp;"},"</f>
        <v xml:space="preserve">    {@"fT",0.680,0.780},</v>
      </c>
      <c r="F35">
        <v>6</v>
      </c>
      <c r="G35" s="7"/>
      <c r="H35" s="23"/>
      <c r="I35" s="24"/>
      <c r="M35" s="24"/>
    </row>
    <row r="36" spans="1:13" s="21" customFormat="1" ht="12.5" x14ac:dyDescent="0.25">
      <c r="A36" s="53" t="s">
        <v>28</v>
      </c>
      <c r="B36" s="39">
        <v>0.71</v>
      </c>
      <c r="C36" s="32">
        <v>0.81</v>
      </c>
      <c r="D36"/>
      <c r="E36" t="str">
        <f>"    {@""" &amp;A36&amp;""","&amp;TEXT(B36,"0.000")&amp;","&amp;TEXT(C36,"0.000")&amp;"},"</f>
        <v xml:space="preserve">    {@"fp",0.710,0.810},</v>
      </c>
      <c r="F36">
        <v>6</v>
      </c>
      <c r="G36" s="7"/>
      <c r="H36" s="23"/>
      <c r="I36" s="24"/>
      <c r="M36" s="24"/>
    </row>
    <row r="37" spans="1:13" s="21" customFormat="1" ht="12.5" x14ac:dyDescent="0.25">
      <c r="A37" s="56" t="s">
        <v>258</v>
      </c>
      <c r="B37" s="34">
        <v>0.73</v>
      </c>
      <c r="C37" s="32">
        <v>0.83</v>
      </c>
      <c r="D37"/>
      <c r="E37" t="str">
        <f>"    {@""" &amp;A37&amp;""","&amp;TEXT(B37,"0.000")&amp;","&amp;TEXT(C37,"0.000")&amp;"},"</f>
        <v xml:space="preserve">    {@"fg",0.730,0.830},</v>
      </c>
      <c r="F37">
        <v>6</v>
      </c>
      <c r="G37" s="7"/>
      <c r="H37" s="23" t="s">
        <v>235</v>
      </c>
      <c r="I37" s="24"/>
      <c r="J37" s="21">
        <v>0.73</v>
      </c>
      <c r="M37" s="24"/>
    </row>
    <row r="38" spans="1:13" s="21" customFormat="1" ht="12.5" x14ac:dyDescent="0.25">
      <c r="A38" s="53" t="s">
        <v>229</v>
      </c>
      <c r="B38" s="34">
        <v>0.8</v>
      </c>
      <c r="C38" s="32">
        <v>0.9</v>
      </c>
      <c r="D38"/>
      <c r="E38" t="str">
        <f>"    {@""" &amp;A38&amp;""","&amp;TEXT(B38,"0.000")&amp;","&amp;TEXT(C38,"0.000")&amp;"},"</f>
        <v xml:space="preserve">    {@"fG",0.800,0.900},</v>
      </c>
      <c r="F38">
        <v>6</v>
      </c>
      <c r="G38" s="7"/>
      <c r="H38" s="23" t="s">
        <v>236</v>
      </c>
      <c r="I38" s="24"/>
      <c r="J38" s="21">
        <v>0.8</v>
      </c>
      <c r="M38" s="24"/>
    </row>
    <row r="39" spans="1:13" s="21" customFormat="1" ht="12.5" x14ac:dyDescent="0.25">
      <c r="A39" s="56" t="s">
        <v>30</v>
      </c>
      <c r="B39" s="34">
        <v>0.9</v>
      </c>
      <c r="C39" s="32">
        <v>1</v>
      </c>
      <c r="D39"/>
      <c r="E39" t="str">
        <f>"    {@""" &amp;A39&amp;""","&amp;TEXT(B39,"0.000")&amp;","&amp;TEXT(C39,"0.000")&amp;"},"</f>
        <v xml:space="preserve">    {@"fF",0.900,1.000},</v>
      </c>
      <c r="F39">
        <v>6</v>
      </c>
      <c r="G39" s="7"/>
      <c r="H39" s="23" t="s">
        <v>255</v>
      </c>
      <c r="I39" s="24"/>
      <c r="J39" s="21">
        <v>0.9</v>
      </c>
      <c r="M39" s="24"/>
    </row>
    <row r="40" spans="1:13" s="21" customFormat="1" ht="12.5" x14ac:dyDescent="0.25">
      <c r="A40" s="56" t="s">
        <v>259</v>
      </c>
      <c r="B40" s="34">
        <v>1.0900000000000001</v>
      </c>
      <c r="C40" s="32">
        <v>1.19</v>
      </c>
      <c r="D40"/>
      <c r="E40" t="str">
        <f>"    {@""" &amp;A40&amp;""","&amp;TEXT(B40,"0.000")&amp;","&amp;TEXT(C40,"0.000")&amp;"},"</f>
        <v xml:space="preserve">    {@"fdF",1.090,1.190},</v>
      </c>
      <c r="F40">
        <v>6</v>
      </c>
      <c r="G40" s="7"/>
      <c r="H40" s="23" t="s">
        <v>256</v>
      </c>
      <c r="I40" s="24"/>
      <c r="J40" s="21">
        <v>1.0900000000000001</v>
      </c>
      <c r="M40" s="24"/>
    </row>
    <row r="41" spans="1:13" s="21" customFormat="1" ht="12.5" x14ac:dyDescent="0.25">
      <c r="A41" s="56" t="s">
        <v>260</v>
      </c>
      <c r="B41" s="34">
        <v>1.28</v>
      </c>
      <c r="C41" s="32">
        <v>1.38</v>
      </c>
      <c r="D41"/>
      <c r="E41" t="str">
        <f>"    {@""" &amp;A41&amp;""","&amp;TEXT(B41,"0.000")&amp;","&amp;TEXT(C41,"0.000")&amp;"},"</f>
        <v xml:space="preserve">    {@"ftF",1.280,1.380},</v>
      </c>
      <c r="F41">
        <v>6</v>
      </c>
      <c r="G41" s="7"/>
      <c r="H41" s="23" t="s">
        <v>257</v>
      </c>
      <c r="I41" s="24"/>
      <c r="J41" s="21">
        <v>1.28</v>
      </c>
      <c r="M41" s="24"/>
    </row>
    <row r="42" spans="1:13" ht="12.5" thickBot="1" x14ac:dyDescent="0.25">
      <c r="A42" t="s">
        <v>0</v>
      </c>
      <c r="E42" t="str">
        <f t="shared" ref="E42" si="1">"    {@""" &amp;A42&amp;""","&amp;TEXT(B42,"0.000")&amp;","&amp;TEXT(C42,"0.000")&amp;"},"</f>
        <v xml:space="preserve">    {@"-",0.000,0.000},</v>
      </c>
      <c r="F42">
        <v>38</v>
      </c>
    </row>
    <row r="43" spans="1:13" s="21" customFormat="1" ht="13" thickTop="1" x14ac:dyDescent="0.25">
      <c r="A43" s="51" t="s">
        <v>225</v>
      </c>
      <c r="B43" s="26">
        <v>0.68</v>
      </c>
      <c r="C43" s="27">
        <v>0.78</v>
      </c>
      <c r="D43"/>
      <c r="E43" t="str">
        <f>"    {@""" &amp;A43&amp;""","&amp;TEXT(B43,"0.000")&amp;","&amp;TEXT(C43,"0.000")&amp;"},"</f>
        <v xml:space="preserve">    {@"3",0.680,0.780},</v>
      </c>
      <c r="F43">
        <v>6</v>
      </c>
      <c r="G43" s="7"/>
      <c r="H43" s="24"/>
    </row>
    <row r="44" spans="1:13" s="21" customFormat="1" ht="12.5" x14ac:dyDescent="0.25">
      <c r="A44" s="53" t="s">
        <v>234</v>
      </c>
      <c r="B44" s="34">
        <v>0.73</v>
      </c>
      <c r="C44" s="32">
        <v>0.83</v>
      </c>
      <c r="D44"/>
      <c r="E44" t="str">
        <f>"    {@""" &amp;A44&amp;""","&amp;TEXT(B44,"0.000")&amp;","&amp;TEXT(C44,"0.000")&amp;"},"</f>
        <v xml:space="preserve">    {@"3g",0.730,0.830},</v>
      </c>
      <c r="F44">
        <v>6</v>
      </c>
      <c r="G44" s="7"/>
      <c r="H44" s="24" t="s">
        <v>235</v>
      </c>
      <c r="J44" s="21">
        <v>0.73</v>
      </c>
    </row>
    <row r="45" spans="1:13" s="21" customFormat="1" ht="12.5" x14ac:dyDescent="0.25">
      <c r="A45" s="53" t="s">
        <v>2</v>
      </c>
      <c r="B45" s="34">
        <v>0.8</v>
      </c>
      <c r="C45" s="32">
        <v>0.9</v>
      </c>
      <c r="D45"/>
      <c r="E45" t="str">
        <f>"    {@""" &amp;A45&amp;""","&amp;TEXT(B45,"0.000")&amp;","&amp;TEXT(C45,"0.000")&amp;"},"</f>
        <v xml:space="preserve">    {@"3G",0.800,0.900},</v>
      </c>
      <c r="F45">
        <v>6</v>
      </c>
      <c r="G45" s="7"/>
      <c r="H45" s="24" t="s">
        <v>236</v>
      </c>
      <c r="J45" s="21">
        <v>0.8</v>
      </c>
    </row>
    <row r="46" spans="1:13" s="21" customFormat="1" ht="12.5" x14ac:dyDescent="0.25">
      <c r="A46" s="53" t="s">
        <v>1</v>
      </c>
      <c r="B46" s="31">
        <v>0.71</v>
      </c>
      <c r="C46" s="32">
        <v>0.81</v>
      </c>
      <c r="D46"/>
      <c r="E46" t="str">
        <f>"    {@""" &amp;A46&amp;""","&amp;TEXT(B46,"0.000")&amp;","&amp;TEXT(C46,"0.000")&amp;"},"</f>
        <v xml:space="preserve">    {@"3p",0.710,0.810},</v>
      </c>
      <c r="F46">
        <v>6</v>
      </c>
      <c r="G46" s="7"/>
      <c r="H46" s="24"/>
    </row>
    <row r="47" spans="1:13" s="21" customFormat="1" ht="12.5" x14ac:dyDescent="0.25">
      <c r="A47" s="53" t="s">
        <v>233</v>
      </c>
      <c r="B47" s="31">
        <v>0.74</v>
      </c>
      <c r="C47" s="32">
        <v>0.84</v>
      </c>
      <c r="D47"/>
      <c r="E47" t="str">
        <f>"    {@""" &amp;A47&amp;""","&amp;TEXT(B47,"0.000")&amp;","&amp;TEXT(C47,"0.000")&amp;"},"</f>
        <v xml:space="preserve">    {@"3pp",0.740,0.840},</v>
      </c>
      <c r="F47">
        <v>6</v>
      </c>
      <c r="G47" s="7"/>
      <c r="H47" s="24"/>
    </row>
    <row r="48" spans="1:13" s="21" customFormat="1" ht="12.5" x14ac:dyDescent="0.25">
      <c r="A48" s="52" t="s">
        <v>226</v>
      </c>
      <c r="B48" s="31">
        <v>0.85</v>
      </c>
      <c r="C48" s="32">
        <v>0.95</v>
      </c>
      <c r="D48"/>
      <c r="E48" t="str">
        <f>"    {@""" &amp;A48&amp;""","&amp;TEXT(B48,"0.000")&amp;","&amp;TEXT(C48,"0.000")&amp;"},"</f>
        <v xml:space="preserve">    {@"7",0.850,0.950},</v>
      </c>
      <c r="F48">
        <v>6</v>
      </c>
      <c r="G48" s="7"/>
      <c r="H48" s="24"/>
    </row>
    <row r="49" spans="1:10" s="21" customFormat="1" ht="12.5" x14ac:dyDescent="0.25">
      <c r="A49" s="53" t="s">
        <v>240</v>
      </c>
      <c r="B49" s="34">
        <v>0.92</v>
      </c>
      <c r="C49" s="32">
        <v>1.02</v>
      </c>
      <c r="D49"/>
      <c r="E49" t="str">
        <f>"    {@""" &amp;A49&amp;""","&amp;TEXT(B49,"0.000")&amp;","&amp;TEXT(C49,"0.000")&amp;"},"</f>
        <v xml:space="preserve">    {@"7g",0.920,1.020},</v>
      </c>
      <c r="F49">
        <v>6</v>
      </c>
      <c r="G49" s="7"/>
      <c r="H49" s="24" t="s">
        <v>241</v>
      </c>
      <c r="J49" s="21">
        <v>0.92</v>
      </c>
    </row>
    <row r="50" spans="1:10" s="21" customFormat="1" ht="12.5" x14ac:dyDescent="0.25">
      <c r="A50" s="53" t="s">
        <v>6</v>
      </c>
      <c r="B50" s="34">
        <v>0.99</v>
      </c>
      <c r="C50" s="32">
        <v>1.0900000000000001</v>
      </c>
      <c r="D50"/>
      <c r="E50" t="str">
        <f>"    {@""" &amp;A50&amp;""","&amp;TEXT(B50,"0.000")&amp;","&amp;TEXT(C50,"0.000")&amp;"},"</f>
        <v xml:space="preserve">    {@"7G",0.990,1.090},</v>
      </c>
      <c r="F50">
        <v>6</v>
      </c>
      <c r="G50" s="7"/>
      <c r="H50" s="24" t="s">
        <v>242</v>
      </c>
      <c r="J50" s="21">
        <v>0.99</v>
      </c>
    </row>
    <row r="51" spans="1:10" s="21" customFormat="1" ht="12.5" x14ac:dyDescent="0.25">
      <c r="A51" s="53" t="s">
        <v>5</v>
      </c>
      <c r="B51" s="31">
        <v>0.88</v>
      </c>
      <c r="C51" s="32">
        <v>0.98</v>
      </c>
      <c r="D51"/>
      <c r="E51" t="str">
        <f>"    {@""" &amp;A51&amp;""","&amp;TEXT(B51,"0.000")&amp;","&amp;TEXT(C51,"0.000")&amp;"},"</f>
        <v xml:space="preserve">    {@"7p",0.880,0.980},</v>
      </c>
      <c r="F51">
        <v>6</v>
      </c>
      <c r="G51" s="7"/>
      <c r="H51" s="24"/>
    </row>
    <row r="52" spans="1:10" s="21" customFormat="1" ht="12.5" x14ac:dyDescent="0.25">
      <c r="A52" s="52" t="s">
        <v>227</v>
      </c>
      <c r="B52" s="31">
        <v>1.02</v>
      </c>
      <c r="C52" s="32">
        <v>1.1200000000000001</v>
      </c>
      <c r="D52"/>
      <c r="E52" t="str">
        <f>"    {@""" &amp;A52&amp;""","&amp;TEXT(B52,"0.000")&amp;","&amp;TEXT(C52,"0.000")&amp;"},"</f>
        <v xml:space="preserve">    {@"10",1.020,1.120},</v>
      </c>
      <c r="F52">
        <v>6</v>
      </c>
      <c r="G52" s="7"/>
      <c r="H52" s="24"/>
    </row>
    <row r="53" spans="1:10" s="21" customFormat="1" ht="12.5" x14ac:dyDescent="0.25">
      <c r="A53" s="53" t="s">
        <v>244</v>
      </c>
      <c r="B53" s="34">
        <v>1.0900000000000001</v>
      </c>
      <c r="C53" s="32">
        <v>1.19</v>
      </c>
      <c r="D53"/>
      <c r="E53" t="str">
        <f>"    {@""" &amp;A53&amp;""","&amp;TEXT(B53,"0.000")&amp;","&amp;TEXT(C53,"0.000")&amp;"},"</f>
        <v xml:space="preserve">    {@"10g",1.090,1.190},</v>
      </c>
      <c r="F53">
        <v>6</v>
      </c>
      <c r="G53" s="7"/>
      <c r="H53" s="24" t="s">
        <v>245</v>
      </c>
      <c r="J53" s="21">
        <v>1.0900000000000001</v>
      </c>
    </row>
    <row r="54" spans="1:10" s="21" customFormat="1" ht="12.5" x14ac:dyDescent="0.25">
      <c r="A54" s="53" t="s">
        <v>11</v>
      </c>
      <c r="B54" s="34">
        <v>1.18</v>
      </c>
      <c r="C54" s="32">
        <v>1.28</v>
      </c>
      <c r="D54"/>
      <c r="E54" t="str">
        <f>"    {@""" &amp;A54&amp;""","&amp;TEXT(B54,"0.000")&amp;","&amp;TEXT(C54,"0.000")&amp;"},"</f>
        <v xml:space="preserve">    {@"10G",1.180,1.280},</v>
      </c>
      <c r="F54">
        <v>6</v>
      </c>
      <c r="G54" s="7"/>
      <c r="H54" s="24" t="s">
        <v>246</v>
      </c>
      <c r="J54" s="21">
        <v>1.18</v>
      </c>
    </row>
    <row r="55" spans="1:10" s="21" customFormat="1" ht="12.5" x14ac:dyDescent="0.25">
      <c r="A55" s="53" t="s">
        <v>10</v>
      </c>
      <c r="B55" s="31">
        <v>1.05</v>
      </c>
      <c r="C55" s="32">
        <v>1.1499999999999999</v>
      </c>
      <c r="D55"/>
      <c r="E55" t="str">
        <f>"    {@""" &amp;A55&amp;""","&amp;TEXT(B55,"0.000")&amp;","&amp;TEXT(C55,"0.000")&amp;"},"</f>
        <v xml:space="preserve">    {@"10p",1.050,1.150},</v>
      </c>
      <c r="F55">
        <v>6</v>
      </c>
      <c r="G55" s="7"/>
      <c r="H55" s="24"/>
    </row>
    <row r="56" spans="1:10" x14ac:dyDescent="0.2">
      <c r="A56" s="6" t="s">
        <v>37</v>
      </c>
      <c r="B56" s="7">
        <v>0.41000000000000003</v>
      </c>
      <c r="C56" s="8">
        <v>0.51</v>
      </c>
      <c r="E56" t="str">
        <f t="shared" ref="E56:E84" si="2">"    {@""" &amp;A56&amp;""","&amp;TEXT(B56,"0.000")&amp;","&amp;TEXT(C56,"0.000")&amp;"},"</f>
        <v xml:space="preserve">    {@"D",0.410,0.510},</v>
      </c>
      <c r="F56">
        <v>39</v>
      </c>
    </row>
    <row r="57" spans="1:10" x14ac:dyDescent="0.2">
      <c r="A57" s="6" t="s">
        <v>38</v>
      </c>
      <c r="B57" s="7">
        <v>0.55000000000000004</v>
      </c>
      <c r="C57" s="8">
        <v>0.65</v>
      </c>
      <c r="E57" t="str">
        <f t="shared" si="2"/>
        <v xml:space="preserve">    {@"DD",0.550,0.650},</v>
      </c>
      <c r="F57">
        <v>40</v>
      </c>
    </row>
    <row r="58" spans="1:10" x14ac:dyDescent="0.2">
      <c r="A58" s="6" t="s">
        <v>39</v>
      </c>
      <c r="B58" s="7">
        <v>0.68</v>
      </c>
      <c r="C58" s="8">
        <v>0.78</v>
      </c>
      <c r="E58" t="str">
        <f t="shared" si="2"/>
        <v xml:space="preserve">    {@"DDD",0.680,0.780},</v>
      </c>
      <c r="F58">
        <v>41</v>
      </c>
    </row>
    <row r="59" spans="1:10" x14ac:dyDescent="0.2">
      <c r="A59" s="9" t="s">
        <v>40</v>
      </c>
      <c r="B59" s="10">
        <v>0.68</v>
      </c>
      <c r="C59" s="11">
        <v>0.78</v>
      </c>
      <c r="E59" t="str">
        <f t="shared" si="2"/>
        <v xml:space="preserve">    {@"DDDG",0.680,0.780},</v>
      </c>
      <c r="F59">
        <v>42</v>
      </c>
    </row>
    <row r="60" spans="1:10" x14ac:dyDescent="0.2">
      <c r="A60" s="6" t="s">
        <v>41</v>
      </c>
      <c r="B60" s="7">
        <v>0.55000000000000004</v>
      </c>
      <c r="C60" s="8">
        <v>0.65</v>
      </c>
      <c r="E60" t="str">
        <f t="shared" si="2"/>
        <v xml:space="preserve">    {@"DDG",0.550,0.650},</v>
      </c>
      <c r="F60">
        <v>43</v>
      </c>
    </row>
    <row r="61" spans="1:10" x14ac:dyDescent="0.2">
      <c r="A61" s="6" t="s">
        <v>42</v>
      </c>
      <c r="B61" s="7">
        <v>0.65</v>
      </c>
      <c r="C61" s="8">
        <v>0.75</v>
      </c>
      <c r="E61" t="str">
        <f t="shared" si="2"/>
        <v xml:space="preserve">    {@"DDS",0.650,0.750},</v>
      </c>
      <c r="F61">
        <v>44</v>
      </c>
    </row>
    <row r="62" spans="1:10" x14ac:dyDescent="0.2">
      <c r="A62" s="6" t="s">
        <v>43</v>
      </c>
      <c r="B62" s="7">
        <v>0.65</v>
      </c>
      <c r="C62" s="8">
        <v>0.75</v>
      </c>
      <c r="E62" t="str">
        <f t="shared" si="2"/>
        <v xml:space="preserve">    {@"DDT",0.650,0.750},</v>
      </c>
      <c r="F62">
        <v>45</v>
      </c>
    </row>
    <row r="63" spans="1:10" x14ac:dyDescent="0.2">
      <c r="A63" s="6" t="s">
        <v>44</v>
      </c>
      <c r="B63" s="7">
        <v>0.74</v>
      </c>
      <c r="C63" s="8">
        <v>0.84</v>
      </c>
      <c r="E63" t="str">
        <f t="shared" si="2"/>
        <v xml:space="preserve">    {@"DDTS",0.740,0.840},</v>
      </c>
      <c r="F63">
        <v>46</v>
      </c>
    </row>
    <row r="64" spans="1:10" x14ac:dyDescent="0.2">
      <c r="A64" s="6" t="s">
        <v>45</v>
      </c>
      <c r="B64" s="7">
        <v>0.74</v>
      </c>
      <c r="C64" s="8">
        <v>0.84</v>
      </c>
      <c r="E64" t="str">
        <f t="shared" si="2"/>
        <v xml:space="preserve">    {@"DDTT",0.740,0.840},</v>
      </c>
      <c r="F64">
        <v>47</v>
      </c>
    </row>
    <row r="65" spans="1:6" x14ac:dyDescent="0.2">
      <c r="A65" s="6" t="s">
        <v>46</v>
      </c>
      <c r="B65" s="7">
        <v>0.82</v>
      </c>
      <c r="C65" s="8">
        <v>0.91999999999999993</v>
      </c>
      <c r="E65" t="str">
        <f t="shared" si="2"/>
        <v xml:space="preserve">    {@"DDTTS",0.820,0.920},</v>
      </c>
      <c r="F65">
        <v>48</v>
      </c>
    </row>
    <row r="66" spans="1:6" x14ac:dyDescent="0.2">
      <c r="A66" s="9" t="s">
        <v>47</v>
      </c>
      <c r="B66" s="10">
        <v>0.41000000000000003</v>
      </c>
      <c r="C66" s="11">
        <v>0.51</v>
      </c>
      <c r="E66" t="str">
        <f t="shared" si="2"/>
        <v xml:space="preserve">    {@"DG",0.410,0.510},</v>
      </c>
      <c r="F66">
        <v>49</v>
      </c>
    </row>
    <row r="67" spans="1:6" x14ac:dyDescent="0.2">
      <c r="A67" s="6" t="s">
        <v>48</v>
      </c>
      <c r="B67" s="7">
        <v>0.55000000000000004</v>
      </c>
      <c r="C67" s="8">
        <v>0.65</v>
      </c>
      <c r="E67" t="str">
        <f t="shared" si="2"/>
        <v xml:space="preserve">    {@"DK",0.550,0.650},</v>
      </c>
      <c r="F67">
        <v>50</v>
      </c>
    </row>
    <row r="68" spans="1:6" x14ac:dyDescent="0.2">
      <c r="A68" s="9" t="s">
        <v>49</v>
      </c>
      <c r="B68" s="10">
        <v>0.55000000000000004</v>
      </c>
      <c r="C68" s="11">
        <v>0.65</v>
      </c>
      <c r="E68" t="str">
        <f t="shared" si="2"/>
        <v xml:space="preserve">    {@"DKG",0.550,0.650},</v>
      </c>
      <c r="F68">
        <v>51</v>
      </c>
    </row>
    <row r="69" spans="1:6" x14ac:dyDescent="0.2">
      <c r="A69" s="6" t="s">
        <v>50</v>
      </c>
      <c r="B69" s="7">
        <v>0.52</v>
      </c>
      <c r="C69" s="8">
        <v>0.62</v>
      </c>
      <c r="E69" t="str">
        <f t="shared" si="2"/>
        <v xml:space="preserve">    {@"DS",0.520,0.620},</v>
      </c>
      <c r="F69">
        <v>52</v>
      </c>
    </row>
    <row r="70" spans="1:6" x14ac:dyDescent="0.2">
      <c r="A70" s="6" t="s">
        <v>51</v>
      </c>
      <c r="B70" s="7">
        <v>0.52</v>
      </c>
      <c r="C70" s="8">
        <v>0.62</v>
      </c>
      <c r="E70" t="str">
        <f t="shared" si="2"/>
        <v xml:space="preserve">    {@"DSG",0.520,0.620},</v>
      </c>
      <c r="F70">
        <v>53</v>
      </c>
    </row>
    <row r="71" spans="1:6" x14ac:dyDescent="0.2">
      <c r="A71" s="6" t="s">
        <v>52</v>
      </c>
      <c r="B71" s="7">
        <v>0.52</v>
      </c>
      <c r="C71" s="8">
        <v>0.62</v>
      </c>
      <c r="E71" t="str">
        <f t="shared" si="2"/>
        <v xml:space="preserve">    {@"DT",0.520,0.620},</v>
      </c>
      <c r="F71">
        <v>54</v>
      </c>
    </row>
    <row r="72" spans="1:6" x14ac:dyDescent="0.2">
      <c r="A72" s="6" t="s">
        <v>53</v>
      </c>
      <c r="B72" s="7">
        <v>0.52</v>
      </c>
      <c r="C72" s="8">
        <v>0.62</v>
      </c>
      <c r="E72" t="str">
        <f t="shared" si="2"/>
        <v xml:space="preserve">    {@"DTG",0.520,0.620},</v>
      </c>
      <c r="F72">
        <v>55</v>
      </c>
    </row>
    <row r="73" spans="1:6" x14ac:dyDescent="0.2">
      <c r="A73" s="6" t="s">
        <v>54</v>
      </c>
      <c r="B73" s="7">
        <v>0.62</v>
      </c>
      <c r="C73" s="8">
        <v>0.72</v>
      </c>
      <c r="E73" t="str">
        <f t="shared" si="2"/>
        <v xml:space="preserve">    {@"DTS",0.620,0.720},</v>
      </c>
      <c r="F73">
        <v>56</v>
      </c>
    </row>
    <row r="74" spans="1:6" x14ac:dyDescent="0.2">
      <c r="A74" s="9" t="s">
        <v>55</v>
      </c>
      <c r="B74" s="10">
        <v>0.62</v>
      </c>
      <c r="C74" s="11">
        <v>0.72</v>
      </c>
      <c r="E74" t="str">
        <f t="shared" si="2"/>
        <v xml:space="preserve">    {@"DTSG",0.620,0.720},</v>
      </c>
      <c r="F74">
        <v>57</v>
      </c>
    </row>
    <row r="75" spans="1:6" x14ac:dyDescent="0.2">
      <c r="A75" s="6" t="s">
        <v>56</v>
      </c>
      <c r="B75" s="7">
        <v>0.62</v>
      </c>
      <c r="C75" s="8">
        <v>0.72</v>
      </c>
      <c r="E75" t="str">
        <f t="shared" si="2"/>
        <v xml:space="preserve">    {@"DTT",0.620,0.720},</v>
      </c>
      <c r="F75">
        <v>58</v>
      </c>
    </row>
    <row r="76" spans="1:6" x14ac:dyDescent="0.2">
      <c r="A76" s="9" t="s">
        <v>57</v>
      </c>
      <c r="B76" s="10">
        <v>0.62</v>
      </c>
      <c r="C76" s="11">
        <v>0.72</v>
      </c>
      <c r="E76" t="str">
        <f t="shared" si="2"/>
        <v xml:space="preserve">    {@"DTTG",0.620,0.720},</v>
      </c>
      <c r="F76">
        <v>59</v>
      </c>
    </row>
    <row r="77" spans="1:6" x14ac:dyDescent="0.2">
      <c r="A77" s="6" t="s">
        <v>58</v>
      </c>
      <c r="B77" s="7">
        <v>0.71</v>
      </c>
      <c r="C77" s="8">
        <v>0.80999999999999994</v>
      </c>
      <c r="E77" t="str">
        <f t="shared" si="2"/>
        <v xml:space="preserve">    {@"DTTS",0.710,0.810},</v>
      </c>
      <c r="F77">
        <v>60</v>
      </c>
    </row>
    <row r="78" spans="1:6" x14ac:dyDescent="0.2">
      <c r="A78" s="9" t="s">
        <v>59</v>
      </c>
      <c r="B78" s="10">
        <v>0.71</v>
      </c>
      <c r="C78" s="11">
        <v>0.80999999999999994</v>
      </c>
      <c r="E78" t="str">
        <f t="shared" si="2"/>
        <v xml:space="preserve">    {@"DTTSG",0.710,0.810},</v>
      </c>
      <c r="F78">
        <v>61</v>
      </c>
    </row>
    <row r="79" spans="1:6" x14ac:dyDescent="0.2">
      <c r="A79" s="6" t="s">
        <v>60</v>
      </c>
      <c r="B79" s="7">
        <v>0.65</v>
      </c>
      <c r="C79" s="8">
        <v>0.75</v>
      </c>
      <c r="E79" t="str">
        <f t="shared" si="2"/>
        <v xml:space="preserve">    {@"DXS",0.650,0.750},</v>
      </c>
      <c r="F79">
        <v>62</v>
      </c>
    </row>
    <row r="80" spans="1:6" x14ac:dyDescent="0.2">
      <c r="A80" s="9" t="s">
        <v>61</v>
      </c>
      <c r="B80" s="10">
        <v>0.65</v>
      </c>
      <c r="C80" s="11">
        <v>0.75</v>
      </c>
      <c r="E80" t="str">
        <f t="shared" si="2"/>
        <v xml:space="preserve">    {@"DXSG",0.650,0.750},</v>
      </c>
      <c r="F80">
        <v>63</v>
      </c>
    </row>
    <row r="81" spans="1:6" x14ac:dyDescent="0.2">
      <c r="A81" s="6" t="s">
        <v>62</v>
      </c>
      <c r="B81" s="7">
        <v>0.41000000000000003</v>
      </c>
      <c r="C81" s="8">
        <v>0.51</v>
      </c>
      <c r="E81" t="str">
        <f t="shared" si="2"/>
        <v xml:space="preserve">    {@"K",0.410,0.510},</v>
      </c>
      <c r="F81">
        <v>64</v>
      </c>
    </row>
    <row r="82" spans="1:6" x14ac:dyDescent="0.2">
      <c r="A82" s="6" t="s">
        <v>63</v>
      </c>
      <c r="B82" s="7">
        <v>0.55000000000000004</v>
      </c>
      <c r="C82" s="8">
        <v>0.65</v>
      </c>
      <c r="E82" t="str">
        <f t="shared" si="2"/>
        <v xml:space="preserve">    {@"KD",0.550,0.650},</v>
      </c>
      <c r="F82">
        <v>65</v>
      </c>
    </row>
    <row r="83" spans="1:6" x14ac:dyDescent="0.2">
      <c r="A83" s="6" t="s">
        <v>64</v>
      </c>
      <c r="B83" s="7">
        <v>0.68</v>
      </c>
      <c r="C83" s="8">
        <v>0.78</v>
      </c>
      <c r="E83" t="str">
        <f t="shared" si="2"/>
        <v xml:space="preserve">    {@"KDD",0.680,0.780},</v>
      </c>
      <c r="F83">
        <v>66</v>
      </c>
    </row>
    <row r="84" spans="1:6" x14ac:dyDescent="0.2">
      <c r="A84" s="6" t="s">
        <v>65</v>
      </c>
      <c r="B84" s="7">
        <v>0.55000000000000004</v>
      </c>
      <c r="C84" s="8">
        <v>0.65</v>
      </c>
      <c r="E84" t="str">
        <f t="shared" si="2"/>
        <v xml:space="preserve">    {@"KM",0.550,0.650},</v>
      </c>
      <c r="F84">
        <v>67</v>
      </c>
    </row>
    <row r="85" spans="1:6" x14ac:dyDescent="0.2">
      <c r="A85" s="9" t="s">
        <v>66</v>
      </c>
      <c r="B85" s="10">
        <v>0.55000000000000004</v>
      </c>
      <c r="C85" s="11">
        <v>0.65</v>
      </c>
      <c r="E85" t="str">
        <f t="shared" ref="E85:E148" si="3">"    {@""" &amp;A85&amp;""","&amp;TEXT(B85,"0.000")&amp;","&amp;TEXT(C85,"0.000")&amp;"},"</f>
        <v xml:space="preserve">    {@"KMG",0.550,0.650},</v>
      </c>
      <c r="F85">
        <v>68</v>
      </c>
    </row>
    <row r="86" spans="1:6" x14ac:dyDescent="0.2">
      <c r="A86" s="6" t="s">
        <v>67</v>
      </c>
      <c r="B86" s="7">
        <v>0.52</v>
      </c>
      <c r="C86" s="8">
        <v>0.62</v>
      </c>
      <c r="E86" t="str">
        <f t="shared" si="3"/>
        <v xml:space="preserve">    {@"KT",0.520,0.620},</v>
      </c>
      <c r="F86">
        <v>69</v>
      </c>
    </row>
    <row r="87" spans="1:6" x14ac:dyDescent="0.2">
      <c r="A87" s="6" t="s">
        <v>68</v>
      </c>
      <c r="B87" s="7">
        <v>0.62</v>
      </c>
      <c r="C87" s="8">
        <v>0.72</v>
      </c>
      <c r="E87" t="str">
        <f t="shared" si="3"/>
        <v xml:space="preserve">    {@"KTT",0.620,0.720},</v>
      </c>
      <c r="F87">
        <v>70</v>
      </c>
    </row>
    <row r="88" spans="1:6" x14ac:dyDescent="0.2">
      <c r="A88" s="6" t="s">
        <v>69</v>
      </c>
      <c r="B88" s="7">
        <v>0.55000000000000004</v>
      </c>
      <c r="C88" s="8">
        <v>0.65</v>
      </c>
      <c r="E88" t="str">
        <f t="shared" si="3"/>
        <v xml:space="preserve">    {@"KX",0.550,0.650},</v>
      </c>
      <c r="F88">
        <v>71</v>
      </c>
    </row>
    <row r="89" spans="1:6" x14ac:dyDescent="0.2">
      <c r="A89" s="9" t="s">
        <v>70</v>
      </c>
      <c r="B89" s="10">
        <v>0.55000000000000004</v>
      </c>
      <c r="C89" s="11">
        <v>0.65</v>
      </c>
      <c r="E89" t="str">
        <f t="shared" si="3"/>
        <v xml:space="preserve">    {@"KXG",0.550,0.650},</v>
      </c>
      <c r="F89">
        <v>72</v>
      </c>
    </row>
    <row r="90" spans="1:6" x14ac:dyDescent="0.2">
      <c r="A90" s="6" t="s">
        <v>71</v>
      </c>
      <c r="B90" s="7">
        <v>0.55000000000000004</v>
      </c>
      <c r="C90" s="8">
        <v>0.65</v>
      </c>
      <c r="E90" t="str">
        <f t="shared" si="3"/>
        <v xml:space="preserve">    {@"KY",0.550,0.650},</v>
      </c>
      <c r="F90">
        <v>73</v>
      </c>
    </row>
    <row r="91" spans="1:6" x14ac:dyDescent="0.2">
      <c r="A91" s="9" t="s">
        <v>72</v>
      </c>
      <c r="B91" s="10">
        <v>0.55000000000000004</v>
      </c>
      <c r="C91" s="11">
        <v>0.65</v>
      </c>
      <c r="E91" t="str">
        <f t="shared" si="3"/>
        <v xml:space="preserve">    {@"KYG",0.550,0.650},</v>
      </c>
      <c r="F91">
        <v>74</v>
      </c>
    </row>
    <row r="92" spans="1:6" x14ac:dyDescent="0.2">
      <c r="A92" s="6" t="s">
        <v>73</v>
      </c>
      <c r="B92" s="7">
        <v>0.41000000000000003</v>
      </c>
      <c r="C92" s="8">
        <v>0.51</v>
      </c>
      <c r="E92" t="str">
        <f t="shared" si="3"/>
        <v xml:space="preserve">    {@"M",0.410,0.510},</v>
      </c>
      <c r="F92">
        <v>75</v>
      </c>
    </row>
    <row r="93" spans="1:6" x14ac:dyDescent="0.2">
      <c r="A93" s="6" t="s">
        <v>74</v>
      </c>
      <c r="B93" s="7">
        <v>0.41000000000000003</v>
      </c>
      <c r="C93" s="8">
        <v>0.51</v>
      </c>
      <c r="E93" t="str">
        <f t="shared" si="3"/>
        <v xml:space="preserve">    {@"MG",0.410,0.510},</v>
      </c>
      <c r="F93">
        <v>76</v>
      </c>
    </row>
    <row r="94" spans="1:6" x14ac:dyDescent="0.2">
      <c r="A94" s="12" t="s">
        <v>75</v>
      </c>
      <c r="B94" s="13">
        <v>0.52</v>
      </c>
      <c r="C94" s="14">
        <v>0.62</v>
      </c>
      <c r="E94" t="str">
        <f t="shared" si="3"/>
        <v xml:space="preserve">    {@"MS",0.520,0.620},</v>
      </c>
      <c r="F94">
        <v>77</v>
      </c>
    </row>
    <row r="95" spans="1:6" x14ac:dyDescent="0.2">
      <c r="A95" s="9" t="s">
        <v>76</v>
      </c>
      <c r="B95" s="10">
        <v>0.52</v>
      </c>
      <c r="C95" s="11">
        <v>0.62</v>
      </c>
      <c r="E95" t="str">
        <f t="shared" si="3"/>
        <v xml:space="preserve">    {@"MSG",0.520,0.620},</v>
      </c>
      <c r="F95">
        <v>78</v>
      </c>
    </row>
    <row r="96" spans="1:6" x14ac:dyDescent="0.2">
      <c r="A96" s="6" t="s">
        <v>77</v>
      </c>
      <c r="B96" s="7">
        <v>0.38</v>
      </c>
      <c r="C96" s="8">
        <v>0.48</v>
      </c>
      <c r="E96" t="str">
        <f t="shared" si="3"/>
        <v xml:space="preserve">    {@"S",0.380,0.480},</v>
      </c>
      <c r="F96">
        <v>79</v>
      </c>
    </row>
    <row r="97" spans="1:6" x14ac:dyDescent="0.2">
      <c r="A97" s="6" t="s">
        <v>78</v>
      </c>
      <c r="B97" s="7">
        <v>0.52</v>
      </c>
      <c r="C97" s="8">
        <v>0.62</v>
      </c>
      <c r="E97" t="str">
        <f t="shared" si="3"/>
        <v xml:space="preserve">    {@"SD",0.520,0.620},</v>
      </c>
      <c r="F97">
        <v>80</v>
      </c>
    </row>
    <row r="98" spans="1:6" x14ac:dyDescent="0.2">
      <c r="A98" s="6" t="s">
        <v>79</v>
      </c>
      <c r="B98" s="7">
        <v>0.52</v>
      </c>
      <c r="C98" s="8">
        <v>0.62</v>
      </c>
      <c r="E98" t="str">
        <f t="shared" si="3"/>
        <v xml:space="preserve">    {@"SDG",0.520,0.620},</v>
      </c>
      <c r="F98">
        <v>81</v>
      </c>
    </row>
    <row r="99" spans="1:6" x14ac:dyDescent="0.2">
      <c r="A99" s="6" t="s">
        <v>80</v>
      </c>
      <c r="B99" s="7">
        <v>0.38</v>
      </c>
      <c r="C99" s="8">
        <v>0.48</v>
      </c>
      <c r="E99" t="str">
        <f t="shared" si="3"/>
        <v xml:space="preserve">    {@"SG",0.380,0.480},</v>
      </c>
      <c r="F99">
        <v>82</v>
      </c>
    </row>
    <row r="100" spans="1:6" x14ac:dyDescent="0.2">
      <c r="A100" s="6" t="s">
        <v>81</v>
      </c>
      <c r="B100" s="7">
        <v>0.52</v>
      </c>
      <c r="C100" s="8">
        <v>0.62</v>
      </c>
      <c r="E100" t="str">
        <f t="shared" si="3"/>
        <v xml:space="preserve">    {@"SM",0.520,0.620},</v>
      </c>
      <c r="F100">
        <v>83</v>
      </c>
    </row>
    <row r="101" spans="1:6" x14ac:dyDescent="0.2">
      <c r="A101" s="6" t="s">
        <v>82</v>
      </c>
      <c r="B101" s="7">
        <v>0.49000000000000005</v>
      </c>
      <c r="C101" s="8">
        <v>0.59000000000000008</v>
      </c>
      <c r="E101" t="str">
        <f t="shared" si="3"/>
        <v xml:space="preserve">    {@"SS",0.490,0.590},</v>
      </c>
      <c r="F101">
        <v>84</v>
      </c>
    </row>
    <row r="102" spans="1:6" x14ac:dyDescent="0.2">
      <c r="A102" s="6" t="s">
        <v>83</v>
      </c>
      <c r="B102" s="7">
        <v>0.49000000000000005</v>
      </c>
      <c r="C102" s="8">
        <v>0.59000000000000008</v>
      </c>
      <c r="E102" t="str">
        <f t="shared" si="3"/>
        <v xml:space="preserve">    {@"SSG",0.490,0.590},</v>
      </c>
      <c r="F102">
        <v>85</v>
      </c>
    </row>
    <row r="103" spans="1:6" x14ac:dyDescent="0.2">
      <c r="A103" s="6" t="s">
        <v>84</v>
      </c>
      <c r="B103" s="7">
        <v>0.59000000000000008</v>
      </c>
      <c r="C103" s="8">
        <v>0.69000000000000006</v>
      </c>
      <c r="E103" t="str">
        <f t="shared" si="3"/>
        <v xml:space="preserve">    {@"SSS",0.590,0.690},</v>
      </c>
      <c r="F103">
        <v>86</v>
      </c>
    </row>
    <row r="104" spans="1:6" x14ac:dyDescent="0.2">
      <c r="A104" s="6" t="s">
        <v>85</v>
      </c>
      <c r="B104" s="7">
        <v>0.59000000000000008</v>
      </c>
      <c r="C104" s="8">
        <v>0.69000000000000006</v>
      </c>
      <c r="E104" t="str">
        <f t="shared" si="3"/>
        <v xml:space="preserve">    {@"SSSG",0.590,0.690},</v>
      </c>
      <c r="F104">
        <v>87</v>
      </c>
    </row>
    <row r="105" spans="1:6" x14ac:dyDescent="0.2">
      <c r="A105" s="6" t="s">
        <v>86</v>
      </c>
      <c r="B105" s="7">
        <v>0.49000000000000005</v>
      </c>
      <c r="C105" s="8">
        <v>0.59000000000000008</v>
      </c>
      <c r="E105" t="str">
        <f t="shared" si="3"/>
        <v xml:space="preserve">    {@"ST",0.490,0.590},</v>
      </c>
      <c r="F105">
        <v>88</v>
      </c>
    </row>
    <row r="106" spans="1:6" x14ac:dyDescent="0.2">
      <c r="A106" s="6" t="s">
        <v>87</v>
      </c>
      <c r="B106" s="7">
        <v>0.49000000000000005</v>
      </c>
      <c r="C106" s="8">
        <v>0.59000000000000008</v>
      </c>
      <c r="E106" t="str">
        <f t="shared" si="3"/>
        <v xml:space="preserve">    {@"STG",0.490,0.590},</v>
      </c>
      <c r="F106">
        <v>89</v>
      </c>
    </row>
    <row r="107" spans="1:6" x14ac:dyDescent="0.2">
      <c r="A107" s="6" t="s">
        <v>88</v>
      </c>
      <c r="B107" s="7">
        <v>0.62</v>
      </c>
      <c r="C107" s="8">
        <v>0.72</v>
      </c>
      <c r="E107" t="str">
        <f t="shared" si="3"/>
        <v xml:space="preserve">    {@"STK",0.620,0.720},</v>
      </c>
      <c r="F107">
        <v>90</v>
      </c>
    </row>
    <row r="108" spans="1:6" x14ac:dyDescent="0.2">
      <c r="A108" s="6" t="s">
        <v>89</v>
      </c>
      <c r="B108" s="7">
        <v>0.62</v>
      </c>
      <c r="C108" s="8">
        <v>0.72</v>
      </c>
      <c r="E108" t="str">
        <f t="shared" si="3"/>
        <v xml:space="preserve">    {@"STKG",0.620,0.720},</v>
      </c>
      <c r="F108">
        <v>91</v>
      </c>
    </row>
    <row r="109" spans="1:6" x14ac:dyDescent="0.2">
      <c r="A109" s="6" t="s">
        <v>90</v>
      </c>
      <c r="B109" s="7">
        <v>0.59000000000000008</v>
      </c>
      <c r="C109" s="8">
        <v>0.69000000000000006</v>
      </c>
      <c r="E109" t="str">
        <f t="shared" si="3"/>
        <v xml:space="preserve">    {@"STS",0.590,0.690},</v>
      </c>
      <c r="F109">
        <v>92</v>
      </c>
    </row>
    <row r="110" spans="1:6" x14ac:dyDescent="0.2">
      <c r="A110" s="6" t="s">
        <v>91</v>
      </c>
      <c r="B110" s="7">
        <v>0.59000000000000008</v>
      </c>
      <c r="C110" s="8">
        <v>0.69000000000000006</v>
      </c>
      <c r="E110" t="str">
        <f t="shared" si="3"/>
        <v xml:space="preserve">    {@"STSG",0.590,0.690},</v>
      </c>
      <c r="F110">
        <v>93</v>
      </c>
    </row>
    <row r="111" spans="1:6" x14ac:dyDescent="0.2">
      <c r="A111" s="6" t="s">
        <v>92</v>
      </c>
      <c r="B111" s="7">
        <v>0.59000000000000008</v>
      </c>
      <c r="C111" s="8">
        <v>0.69000000000000006</v>
      </c>
      <c r="E111" t="str">
        <f t="shared" si="3"/>
        <v xml:space="preserve">    {@"STT",0.590,0.690},</v>
      </c>
      <c r="F111">
        <v>94</v>
      </c>
    </row>
    <row r="112" spans="1:6" x14ac:dyDescent="0.2">
      <c r="A112" s="6" t="s">
        <v>93</v>
      </c>
      <c r="B112" s="7">
        <v>0.59000000000000008</v>
      </c>
      <c r="C112" s="8">
        <v>0.69000000000000006</v>
      </c>
      <c r="E112" t="str">
        <f t="shared" si="3"/>
        <v xml:space="preserve">    {@"STTG",0.590,0.690},</v>
      </c>
      <c r="F112">
        <v>95</v>
      </c>
    </row>
    <row r="113" spans="1:6" x14ac:dyDescent="0.2">
      <c r="A113" s="6" t="s">
        <v>94</v>
      </c>
      <c r="B113" s="7">
        <v>0.71</v>
      </c>
      <c r="C113" s="8">
        <v>0.80999999999999994</v>
      </c>
      <c r="E113" t="str">
        <f t="shared" si="3"/>
        <v xml:space="preserve">    {@"STTK",0.710,0.810},</v>
      </c>
      <c r="F113">
        <v>96</v>
      </c>
    </row>
    <row r="114" spans="1:6" x14ac:dyDescent="0.2">
      <c r="A114" s="6" t="s">
        <v>95</v>
      </c>
      <c r="B114" s="7">
        <v>0.71</v>
      </c>
      <c r="C114" s="8">
        <v>0.80999999999999994</v>
      </c>
      <c r="E114" t="str">
        <f t="shared" si="3"/>
        <v xml:space="preserve">    {@"STTKG",0.710,0.810},</v>
      </c>
      <c r="F114">
        <v>97</v>
      </c>
    </row>
    <row r="115" spans="1:6" x14ac:dyDescent="0.2">
      <c r="A115" s="6" t="s">
        <v>96</v>
      </c>
      <c r="B115" s="7">
        <v>0.68</v>
      </c>
      <c r="C115" s="8">
        <v>0.78</v>
      </c>
      <c r="E115" t="str">
        <f t="shared" si="3"/>
        <v xml:space="preserve">    {@"STTS",0.680,0.780},</v>
      </c>
      <c r="F115">
        <v>98</v>
      </c>
    </row>
    <row r="116" spans="1:6" x14ac:dyDescent="0.2">
      <c r="A116" s="6" t="s">
        <v>97</v>
      </c>
      <c r="B116" s="7">
        <v>0.68</v>
      </c>
      <c r="C116" s="8">
        <v>0.78</v>
      </c>
      <c r="E116" t="str">
        <f t="shared" si="3"/>
        <v xml:space="preserve">    {@"STTSG",0.680,0.780},</v>
      </c>
      <c r="F116">
        <v>99</v>
      </c>
    </row>
    <row r="117" spans="1:6" x14ac:dyDescent="0.2">
      <c r="A117" s="6" t="s">
        <v>98</v>
      </c>
      <c r="B117" s="7">
        <v>0.71</v>
      </c>
      <c r="C117" s="8">
        <v>0.80999999999999994</v>
      </c>
      <c r="E117" t="str">
        <f t="shared" si="3"/>
        <v xml:space="preserve">    {@"STTX",0.710,0.810},</v>
      </c>
      <c r="F117">
        <v>100</v>
      </c>
    </row>
    <row r="118" spans="1:6" x14ac:dyDescent="0.2">
      <c r="A118" s="6" t="s">
        <v>99</v>
      </c>
      <c r="B118" s="7">
        <v>0.71</v>
      </c>
      <c r="C118" s="8">
        <v>0.80999999999999994</v>
      </c>
      <c r="E118" t="str">
        <f t="shared" si="3"/>
        <v xml:space="preserve">    {@"STTXG",0.710,0.810},</v>
      </c>
      <c r="F118">
        <v>101</v>
      </c>
    </row>
    <row r="119" spans="1:6" x14ac:dyDescent="0.2">
      <c r="A119" s="6" t="s">
        <v>100</v>
      </c>
      <c r="B119" s="7">
        <v>0.71</v>
      </c>
      <c r="C119" s="8">
        <v>0.80999999999999994</v>
      </c>
      <c r="E119" t="str">
        <f t="shared" si="3"/>
        <v xml:space="preserve">    {@"STTY",0.710,0.810},</v>
      </c>
      <c r="F119">
        <v>102</v>
      </c>
    </row>
    <row r="120" spans="1:6" x14ac:dyDescent="0.2">
      <c r="A120" s="6" t="s">
        <v>101</v>
      </c>
      <c r="B120" s="7">
        <v>0.71</v>
      </c>
      <c r="C120" s="8">
        <v>0.80999999999999994</v>
      </c>
      <c r="E120" t="str">
        <f t="shared" si="3"/>
        <v xml:space="preserve">    {@"STTYG",0.710,0.810},</v>
      </c>
      <c r="F120">
        <v>103</v>
      </c>
    </row>
    <row r="121" spans="1:6" x14ac:dyDescent="0.2">
      <c r="A121" s="6" t="s">
        <v>102</v>
      </c>
      <c r="B121" s="7">
        <v>0.62</v>
      </c>
      <c r="C121" s="8">
        <v>0.72</v>
      </c>
      <c r="E121" t="str">
        <f t="shared" si="3"/>
        <v xml:space="preserve">    {@"STX",0.620,0.720},</v>
      </c>
      <c r="F121">
        <v>104</v>
      </c>
    </row>
    <row r="122" spans="1:6" x14ac:dyDescent="0.2">
      <c r="A122" s="6" t="s">
        <v>103</v>
      </c>
      <c r="B122" s="7">
        <v>0.62</v>
      </c>
      <c r="C122" s="8">
        <v>0.72</v>
      </c>
      <c r="E122" t="str">
        <f t="shared" si="3"/>
        <v xml:space="preserve">    {@"STXG",0.620,0.720},</v>
      </c>
      <c r="F122">
        <v>105</v>
      </c>
    </row>
    <row r="123" spans="1:6" x14ac:dyDescent="0.2">
      <c r="A123" s="6" t="s">
        <v>104</v>
      </c>
      <c r="B123" s="7">
        <v>0.62</v>
      </c>
      <c r="C123" s="8">
        <v>0.72</v>
      </c>
      <c r="E123" t="str">
        <f t="shared" si="3"/>
        <v xml:space="preserve">    {@"STY",0.620,0.720},</v>
      </c>
      <c r="F123">
        <v>106</v>
      </c>
    </row>
    <row r="124" spans="1:6" x14ac:dyDescent="0.2">
      <c r="A124" s="6" t="s">
        <v>105</v>
      </c>
      <c r="B124" s="7">
        <v>0.62</v>
      </c>
      <c r="C124" s="8">
        <v>0.72</v>
      </c>
      <c r="E124" t="str">
        <f t="shared" si="3"/>
        <v xml:space="preserve">    {@"STYG",0.620,0.720},</v>
      </c>
      <c r="F124">
        <v>107</v>
      </c>
    </row>
    <row r="125" spans="1:6" x14ac:dyDescent="0.2">
      <c r="A125" s="6" t="s">
        <v>106</v>
      </c>
      <c r="B125" s="7">
        <v>0.52</v>
      </c>
      <c r="C125" s="8">
        <v>0.62</v>
      </c>
      <c r="E125" t="str">
        <f t="shared" si="3"/>
        <v xml:space="preserve">    {@"SX",0.520,0.620},</v>
      </c>
      <c r="F125">
        <v>108</v>
      </c>
    </row>
    <row r="126" spans="1:6" x14ac:dyDescent="0.2">
      <c r="A126" s="6" t="s">
        <v>107</v>
      </c>
      <c r="B126" s="7">
        <v>0.52</v>
      </c>
      <c r="C126" s="8">
        <v>0.62</v>
      </c>
      <c r="E126" t="str">
        <f t="shared" si="3"/>
        <v xml:space="preserve">    {@"SXG",0.520,0.620},</v>
      </c>
      <c r="F126">
        <v>109</v>
      </c>
    </row>
    <row r="127" spans="1:6" x14ac:dyDescent="0.2">
      <c r="A127" s="12" t="s">
        <v>108</v>
      </c>
      <c r="B127" s="13">
        <v>0.62</v>
      </c>
      <c r="C127" s="14">
        <v>0.72</v>
      </c>
      <c r="E127" t="str">
        <f t="shared" si="3"/>
        <v xml:space="preserve">    {@"SXS",0.620,0.720},</v>
      </c>
      <c r="F127">
        <v>110</v>
      </c>
    </row>
    <row r="128" spans="1:6" x14ac:dyDescent="0.2">
      <c r="A128" s="9" t="s">
        <v>109</v>
      </c>
      <c r="B128" s="10">
        <v>0.62</v>
      </c>
      <c r="C128" s="11">
        <v>0.72</v>
      </c>
      <c r="E128" t="str">
        <f t="shared" si="3"/>
        <v xml:space="preserve">    {@"SXSG",0.620,0.720},</v>
      </c>
      <c r="F128">
        <v>111</v>
      </c>
    </row>
    <row r="129" spans="1:6" x14ac:dyDescent="0.2">
      <c r="A129" s="6" t="s">
        <v>110</v>
      </c>
      <c r="B129" s="7">
        <v>0.82</v>
      </c>
      <c r="C129" s="8">
        <v>0.91999999999999993</v>
      </c>
      <c r="E129" t="str">
        <f t="shared" si="3"/>
        <v xml:space="preserve">    {@"SXSXS",0.820,0.920},</v>
      </c>
      <c r="F129">
        <v>112</v>
      </c>
    </row>
    <row r="130" spans="1:6" x14ac:dyDescent="0.2">
      <c r="A130" s="6" t="s">
        <v>111</v>
      </c>
      <c r="B130" s="7">
        <v>0.52</v>
      </c>
      <c r="C130" s="8">
        <v>0.62</v>
      </c>
      <c r="E130" t="str">
        <f t="shared" si="3"/>
        <v xml:space="preserve">    {@"SY",0.520,0.620},</v>
      </c>
      <c r="F130">
        <v>113</v>
      </c>
    </row>
    <row r="131" spans="1:6" x14ac:dyDescent="0.2">
      <c r="A131" s="6" t="s">
        <v>112</v>
      </c>
      <c r="B131" s="7">
        <v>0.52</v>
      </c>
      <c r="C131" s="8">
        <v>0.62</v>
      </c>
      <c r="E131" t="str">
        <f t="shared" si="3"/>
        <v xml:space="preserve">    {@"SYG",0.520,0.620},</v>
      </c>
      <c r="F131">
        <v>114</v>
      </c>
    </row>
    <row r="132" spans="1:6" x14ac:dyDescent="0.2">
      <c r="A132" s="12" t="s">
        <v>113</v>
      </c>
      <c r="B132" s="13">
        <v>0.62</v>
      </c>
      <c r="C132" s="14">
        <v>0.72</v>
      </c>
      <c r="E132" t="str">
        <f t="shared" si="3"/>
        <v xml:space="preserve">    {@"SYS",0.620,0.720},</v>
      </c>
      <c r="F132">
        <v>115</v>
      </c>
    </row>
    <row r="133" spans="1:6" x14ac:dyDescent="0.2">
      <c r="A133" s="9" t="s">
        <v>114</v>
      </c>
      <c r="B133" s="10">
        <v>0.62</v>
      </c>
      <c r="C133" s="11">
        <v>0.72</v>
      </c>
      <c r="E133" t="str">
        <f t="shared" si="3"/>
        <v xml:space="preserve">    {@"SYSG",0.620,0.720},</v>
      </c>
      <c r="F133">
        <v>116</v>
      </c>
    </row>
    <row r="134" spans="1:6" x14ac:dyDescent="0.2">
      <c r="A134" s="6" t="s">
        <v>115</v>
      </c>
      <c r="B134" s="7">
        <v>0.51</v>
      </c>
      <c r="C134" s="8">
        <v>0.61</v>
      </c>
      <c r="E134" t="str">
        <f t="shared" si="3"/>
        <v xml:space="preserve">    {@"SZ",0.510,0.610},</v>
      </c>
      <c r="F134">
        <v>117</v>
      </c>
    </row>
    <row r="135" spans="1:6" x14ac:dyDescent="0.2">
      <c r="A135" s="6" t="s">
        <v>116</v>
      </c>
      <c r="B135" s="7">
        <v>0.51</v>
      </c>
      <c r="C135" s="8">
        <v>0.61</v>
      </c>
      <c r="E135" t="str">
        <f t="shared" si="3"/>
        <v xml:space="preserve">    {@"SZG",0.510,0.610},</v>
      </c>
      <c r="F135">
        <v>118</v>
      </c>
    </row>
    <row r="136" spans="1:6" x14ac:dyDescent="0.2">
      <c r="A136" s="6" t="s">
        <v>117</v>
      </c>
      <c r="B136" s="7">
        <v>0.38</v>
      </c>
      <c r="C136" s="8">
        <v>0.48</v>
      </c>
      <c r="E136" t="str">
        <f t="shared" si="3"/>
        <v xml:space="preserve">    {@"T",0.380,0.480},</v>
      </c>
      <c r="F136">
        <v>119</v>
      </c>
    </row>
    <row r="137" spans="1:6" x14ac:dyDescent="0.2">
      <c r="A137" s="6" t="s">
        <v>118</v>
      </c>
      <c r="B137" s="7">
        <v>0.52</v>
      </c>
      <c r="C137" s="8">
        <v>0.62</v>
      </c>
      <c r="E137" t="str">
        <f t="shared" si="3"/>
        <v xml:space="preserve">    {@"TD",0.520,0.620},</v>
      </c>
      <c r="F137">
        <v>120</v>
      </c>
    </row>
    <row r="138" spans="1:6" x14ac:dyDescent="0.2">
      <c r="A138" s="6" t="s">
        <v>119</v>
      </c>
      <c r="B138" s="7">
        <v>0.52</v>
      </c>
      <c r="C138" s="8">
        <v>0.62</v>
      </c>
      <c r="E138" t="str">
        <f t="shared" si="3"/>
        <v xml:space="preserve">    {@"TDG",0.520,0.620},</v>
      </c>
      <c r="F138">
        <v>121</v>
      </c>
    </row>
    <row r="139" spans="1:6" x14ac:dyDescent="0.2">
      <c r="A139" s="6" t="s">
        <v>120</v>
      </c>
      <c r="B139" s="7">
        <v>0.38</v>
      </c>
      <c r="C139" s="8">
        <v>0.48</v>
      </c>
      <c r="E139" t="str">
        <f t="shared" si="3"/>
        <v xml:space="preserve">    {@"TG",0.380,0.480},</v>
      </c>
      <c r="F139">
        <v>122</v>
      </c>
    </row>
    <row r="140" spans="1:6" x14ac:dyDescent="0.2">
      <c r="A140" s="6" t="s">
        <v>121</v>
      </c>
      <c r="B140" s="7">
        <v>0.52</v>
      </c>
      <c r="C140" s="8">
        <v>0.62</v>
      </c>
      <c r="E140" t="str">
        <f t="shared" si="3"/>
        <v xml:space="preserve">    {@"TK",0.520,0.620},</v>
      </c>
      <c r="F140">
        <v>123</v>
      </c>
    </row>
    <row r="141" spans="1:6" x14ac:dyDescent="0.2">
      <c r="A141" s="9" t="s">
        <v>122</v>
      </c>
      <c r="B141" s="10">
        <v>0.52</v>
      </c>
      <c r="C141" s="11">
        <v>0.62</v>
      </c>
      <c r="E141" t="str">
        <f t="shared" si="3"/>
        <v xml:space="preserve">    {@"TKG",0.520,0.620},</v>
      </c>
      <c r="F141">
        <v>124</v>
      </c>
    </row>
    <row r="142" spans="1:6" x14ac:dyDescent="0.2">
      <c r="A142" s="6" t="s">
        <v>123</v>
      </c>
      <c r="B142" s="7">
        <v>0.52</v>
      </c>
      <c r="C142" s="8">
        <v>0.62</v>
      </c>
      <c r="E142" t="str">
        <f t="shared" si="3"/>
        <v xml:space="preserve">    {@"TM",0.520,0.620},</v>
      </c>
      <c r="F142">
        <v>125</v>
      </c>
    </row>
    <row r="143" spans="1:6" x14ac:dyDescent="0.2">
      <c r="A143" s="9" t="s">
        <v>124</v>
      </c>
      <c r="B143" s="10">
        <v>0.52</v>
      </c>
      <c r="C143" s="11">
        <v>0.62</v>
      </c>
      <c r="E143" t="str">
        <f t="shared" si="3"/>
        <v xml:space="preserve">    {@"TMG",0.520,0.620},</v>
      </c>
      <c r="F143">
        <v>126</v>
      </c>
    </row>
    <row r="144" spans="1:6" x14ac:dyDescent="0.2">
      <c r="A144" s="6" t="s">
        <v>125</v>
      </c>
      <c r="B144" s="7">
        <v>0.49000000000000005</v>
      </c>
      <c r="C144" s="8">
        <v>0.59000000000000008</v>
      </c>
      <c r="E144" t="str">
        <f t="shared" si="3"/>
        <v xml:space="preserve">    {@"TS",0.490,0.590},</v>
      </c>
      <c r="F144">
        <v>127</v>
      </c>
    </row>
    <row r="145" spans="1:6" x14ac:dyDescent="0.2">
      <c r="A145" s="9" t="s">
        <v>126</v>
      </c>
      <c r="B145" s="10">
        <v>0.49000000000000005</v>
      </c>
      <c r="C145" s="11">
        <v>0.59000000000000008</v>
      </c>
      <c r="E145" t="str">
        <f t="shared" si="3"/>
        <v xml:space="preserve">    {@"TSG",0.490,0.590},</v>
      </c>
      <c r="F145">
        <v>128</v>
      </c>
    </row>
    <row r="146" spans="1:6" x14ac:dyDescent="0.2">
      <c r="A146" s="12" t="s">
        <v>127</v>
      </c>
      <c r="B146" s="13">
        <v>0.59000000000000008</v>
      </c>
      <c r="C146" s="14">
        <v>0.69000000000000006</v>
      </c>
      <c r="E146" t="str">
        <f t="shared" si="3"/>
        <v xml:space="preserve">    {@"TSS",0.590,0.690},</v>
      </c>
      <c r="F146">
        <v>129</v>
      </c>
    </row>
    <row r="147" spans="1:6" x14ac:dyDescent="0.2">
      <c r="A147" s="9" t="s">
        <v>128</v>
      </c>
      <c r="B147" s="10">
        <v>0.59000000000000008</v>
      </c>
      <c r="C147" s="11">
        <v>0.69000000000000006</v>
      </c>
      <c r="E147" t="str">
        <f t="shared" si="3"/>
        <v xml:space="preserve">    {@"TSSG",0.590,0.690},</v>
      </c>
      <c r="F147">
        <v>130</v>
      </c>
    </row>
    <row r="148" spans="1:6" x14ac:dyDescent="0.2">
      <c r="A148" s="6" t="s">
        <v>129</v>
      </c>
      <c r="B148" s="7">
        <v>0.59000000000000008</v>
      </c>
      <c r="C148" s="8">
        <v>0.69000000000000006</v>
      </c>
      <c r="E148" t="str">
        <f t="shared" si="3"/>
        <v xml:space="preserve">    {@"TST",0.590,0.690},</v>
      </c>
      <c r="F148">
        <v>131</v>
      </c>
    </row>
    <row r="149" spans="1:6" x14ac:dyDescent="0.2">
      <c r="A149" s="9" t="s">
        <v>130</v>
      </c>
      <c r="B149" s="10">
        <v>0.59000000000000008</v>
      </c>
      <c r="C149" s="11">
        <v>0.69000000000000006</v>
      </c>
      <c r="E149" t="str">
        <f t="shared" ref="E149:E207" si="4">"    {@""" &amp;A149&amp;""","&amp;TEXT(B149,"0.000")&amp;","&amp;TEXT(C149,"0.000")&amp;"},"</f>
        <v xml:space="preserve">    {@"TSTG",0.590,0.690},</v>
      </c>
      <c r="F149">
        <v>132</v>
      </c>
    </row>
    <row r="150" spans="1:6" x14ac:dyDescent="0.2">
      <c r="A150" s="6" t="s">
        <v>131</v>
      </c>
      <c r="B150" s="15">
        <v>0.68</v>
      </c>
      <c r="C150" s="8">
        <v>0.78</v>
      </c>
      <c r="E150" t="str">
        <f t="shared" si="4"/>
        <v xml:space="preserve">    {@"TSTS",0.680,0.780},</v>
      </c>
      <c r="F150">
        <v>133</v>
      </c>
    </row>
    <row r="151" spans="1:6" x14ac:dyDescent="0.2">
      <c r="A151" s="6" t="s">
        <v>132</v>
      </c>
      <c r="B151" s="7">
        <v>0.68</v>
      </c>
      <c r="C151" s="8">
        <v>0.78</v>
      </c>
      <c r="E151" t="str">
        <f t="shared" si="4"/>
        <v xml:space="preserve">    {@"TSTSG",0.680,0.780},</v>
      </c>
      <c r="F151">
        <v>134</v>
      </c>
    </row>
    <row r="152" spans="1:6" x14ac:dyDescent="0.2">
      <c r="A152" s="6" t="s">
        <v>133</v>
      </c>
      <c r="B152" s="7">
        <v>0.49000000000000005</v>
      </c>
      <c r="C152" s="8">
        <v>0.59000000000000008</v>
      </c>
      <c r="E152" t="str">
        <f t="shared" si="4"/>
        <v xml:space="preserve">    {@"TT",0.490,0.590},</v>
      </c>
      <c r="F152">
        <v>135</v>
      </c>
    </row>
    <row r="153" spans="1:6" x14ac:dyDescent="0.2">
      <c r="A153" s="6" t="s">
        <v>134</v>
      </c>
      <c r="B153" s="7">
        <v>0.62</v>
      </c>
      <c r="C153" s="8">
        <v>0.72</v>
      </c>
      <c r="E153" t="str">
        <f t="shared" si="4"/>
        <v xml:space="preserve">    {@"TTD",0.620,0.720},</v>
      </c>
      <c r="F153">
        <v>136</v>
      </c>
    </row>
    <row r="154" spans="1:6" x14ac:dyDescent="0.2">
      <c r="A154" s="6" t="s">
        <v>135</v>
      </c>
      <c r="B154" s="7">
        <v>0.74</v>
      </c>
      <c r="C154" s="8">
        <v>0.84</v>
      </c>
      <c r="E154" t="str">
        <f t="shared" si="4"/>
        <v xml:space="preserve">    {@"TTDD",0.740,0.840},</v>
      </c>
      <c r="F154">
        <v>137</v>
      </c>
    </row>
    <row r="155" spans="1:6" x14ac:dyDescent="0.2">
      <c r="A155" s="6" t="s">
        <v>136</v>
      </c>
      <c r="B155" s="7">
        <v>0.74</v>
      </c>
      <c r="C155" s="8">
        <v>0.84</v>
      </c>
      <c r="E155" t="str">
        <f t="shared" si="4"/>
        <v xml:space="preserve">    {@"TTDDG",0.740,0.840},</v>
      </c>
      <c r="F155">
        <v>138</v>
      </c>
    </row>
    <row r="156" spans="1:6" x14ac:dyDescent="0.2">
      <c r="A156" s="6" t="s">
        <v>137</v>
      </c>
      <c r="B156" s="7">
        <v>0.49000000000000005</v>
      </c>
      <c r="C156" s="8">
        <v>0.59000000000000008</v>
      </c>
      <c r="E156" t="str">
        <f t="shared" si="4"/>
        <v xml:space="preserve">    {@"TTG",0.490,0.590},</v>
      </c>
      <c r="F156">
        <v>139</v>
      </c>
    </row>
    <row r="157" spans="1:6" x14ac:dyDescent="0.2">
      <c r="A157" s="6" t="s">
        <v>138</v>
      </c>
      <c r="B157" s="7">
        <v>0.62</v>
      </c>
      <c r="C157" s="8">
        <v>0.72</v>
      </c>
      <c r="E157" t="str">
        <f t="shared" si="4"/>
        <v xml:space="preserve">    {@"TTK",0.620,0.720},</v>
      </c>
      <c r="F157">
        <v>140</v>
      </c>
    </row>
    <row r="158" spans="1:6" x14ac:dyDescent="0.2">
      <c r="A158" s="9" t="s">
        <v>139</v>
      </c>
      <c r="B158" s="10">
        <v>0.62</v>
      </c>
      <c r="C158" s="11">
        <v>0.72</v>
      </c>
      <c r="E158" t="str">
        <f t="shared" si="4"/>
        <v xml:space="preserve">    {@"TTKG",0.620,0.720},</v>
      </c>
      <c r="F158">
        <v>141</v>
      </c>
    </row>
    <row r="159" spans="1:6" x14ac:dyDescent="0.2">
      <c r="A159" s="6" t="s">
        <v>140</v>
      </c>
      <c r="B159" s="7">
        <v>0.59000000000000008</v>
      </c>
      <c r="C159" s="8">
        <v>0.69000000000000006</v>
      </c>
      <c r="E159" t="str">
        <f t="shared" si="4"/>
        <v xml:space="preserve">    {@"TTS",0.590,0.690},</v>
      </c>
      <c r="F159">
        <v>142</v>
      </c>
    </row>
    <row r="160" spans="1:6" x14ac:dyDescent="0.2">
      <c r="A160" s="6" t="s">
        <v>141</v>
      </c>
      <c r="B160" s="7">
        <v>0.59000000000000008</v>
      </c>
      <c r="C160" s="8">
        <v>0.69000000000000006</v>
      </c>
      <c r="E160" t="str">
        <f t="shared" si="4"/>
        <v xml:space="preserve">    {@"TTSG",0.590,0.690},</v>
      </c>
      <c r="F160">
        <v>143</v>
      </c>
    </row>
    <row r="161" spans="1:6" x14ac:dyDescent="0.2">
      <c r="A161" s="6" t="s">
        <v>142</v>
      </c>
      <c r="B161" s="7">
        <v>0.59000000000000008</v>
      </c>
      <c r="C161" s="8">
        <v>0.69000000000000006</v>
      </c>
      <c r="E161" t="str">
        <f t="shared" si="4"/>
        <v xml:space="preserve">    {@"TTT",0.590,0.690},</v>
      </c>
      <c r="F161">
        <v>144</v>
      </c>
    </row>
    <row r="162" spans="1:6" x14ac:dyDescent="0.2">
      <c r="A162" s="6" t="s">
        <v>143</v>
      </c>
      <c r="B162" s="7">
        <v>0.59000000000000008</v>
      </c>
      <c r="C162" s="8">
        <v>0.69000000000000006</v>
      </c>
      <c r="E162" t="str">
        <f t="shared" si="4"/>
        <v xml:space="preserve">    {@"TTTG",0.590,0.690},</v>
      </c>
      <c r="F162">
        <v>145</v>
      </c>
    </row>
    <row r="163" spans="1:6" x14ac:dyDescent="0.2">
      <c r="A163" s="12" t="s">
        <v>144</v>
      </c>
      <c r="B163" s="13">
        <v>0.68</v>
      </c>
      <c r="C163" s="14">
        <v>0.78</v>
      </c>
      <c r="E163" t="str">
        <f t="shared" si="4"/>
        <v xml:space="preserve">    {@"TTTS",0.680,0.780},</v>
      </c>
      <c r="F163">
        <v>146</v>
      </c>
    </row>
    <row r="164" spans="1:6" x14ac:dyDescent="0.2">
      <c r="A164" s="9" t="s">
        <v>145</v>
      </c>
      <c r="B164" s="10">
        <v>0.68</v>
      </c>
      <c r="C164" s="11">
        <v>0.78</v>
      </c>
      <c r="E164" t="str">
        <f t="shared" si="4"/>
        <v xml:space="preserve">    {@"TTTSG",0.680,0.780},</v>
      </c>
      <c r="F164">
        <v>147</v>
      </c>
    </row>
    <row r="165" spans="1:6" x14ac:dyDescent="0.2">
      <c r="A165" s="6" t="s">
        <v>146</v>
      </c>
      <c r="B165" s="7">
        <v>0.68</v>
      </c>
      <c r="C165" s="8">
        <v>0.78</v>
      </c>
      <c r="E165" t="str">
        <f t="shared" si="4"/>
        <v xml:space="preserve">    {@"TTTT",0.680,0.780},</v>
      </c>
      <c r="F165">
        <v>148</v>
      </c>
    </row>
    <row r="166" spans="1:6" x14ac:dyDescent="0.2">
      <c r="A166" s="9" t="s">
        <v>147</v>
      </c>
      <c r="B166" s="10">
        <v>0.68</v>
      </c>
      <c r="C166" s="11">
        <v>0.78</v>
      </c>
      <c r="E166" t="str">
        <f t="shared" si="4"/>
        <v xml:space="preserve">    {@"TTTTG",0.680,0.780},</v>
      </c>
      <c r="F166">
        <v>149</v>
      </c>
    </row>
    <row r="167" spans="1:6" x14ac:dyDescent="0.2">
      <c r="A167" s="6" t="s">
        <v>148</v>
      </c>
      <c r="B167" s="7">
        <v>0.76</v>
      </c>
      <c r="C167" s="8">
        <v>0.86</v>
      </c>
      <c r="E167" t="str">
        <f t="shared" si="4"/>
        <v xml:space="preserve">    {@"TTTTS",0.760,0.860},</v>
      </c>
      <c r="F167">
        <v>150</v>
      </c>
    </row>
    <row r="168" spans="1:6" x14ac:dyDescent="0.2">
      <c r="A168" s="6" t="s">
        <v>149</v>
      </c>
      <c r="B168" s="7">
        <v>0.76</v>
      </c>
      <c r="C168" s="8">
        <v>0.86</v>
      </c>
      <c r="E168" t="str">
        <f t="shared" si="4"/>
        <v xml:space="preserve">    {@"TTTTT",0.760,0.860},</v>
      </c>
      <c r="F168">
        <v>151</v>
      </c>
    </row>
    <row r="169" spans="1:6" x14ac:dyDescent="0.2">
      <c r="A169" s="9" t="s">
        <v>150</v>
      </c>
      <c r="B169" s="10">
        <v>0.76</v>
      </c>
      <c r="C169" s="11">
        <v>0.86</v>
      </c>
      <c r="E169" t="str">
        <f t="shared" si="4"/>
        <v xml:space="preserve">    {@"TTTTTG",0.760,0.860},</v>
      </c>
      <c r="F169">
        <v>152</v>
      </c>
    </row>
    <row r="170" spans="1:6" x14ac:dyDescent="0.2">
      <c r="A170" s="6" t="s">
        <v>151</v>
      </c>
      <c r="B170" s="7">
        <v>0.41000000000000003</v>
      </c>
      <c r="C170" s="8">
        <v>0.51</v>
      </c>
      <c r="E170" t="str">
        <f t="shared" si="4"/>
        <v xml:space="preserve">    {@"X",0.410,0.510},</v>
      </c>
      <c r="F170">
        <v>153</v>
      </c>
    </row>
    <row r="171" spans="1:6" x14ac:dyDescent="0.2">
      <c r="A171" s="6" t="s">
        <v>152</v>
      </c>
      <c r="B171" s="7">
        <v>0.41000000000000003</v>
      </c>
      <c r="C171" s="8">
        <v>0.51</v>
      </c>
      <c r="E171" t="str">
        <f t="shared" si="4"/>
        <v xml:space="preserve">    {@"XG",0.410,0.510},</v>
      </c>
      <c r="F171">
        <v>154</v>
      </c>
    </row>
    <row r="172" spans="1:6" x14ac:dyDescent="0.2">
      <c r="A172" s="6" t="s">
        <v>153</v>
      </c>
      <c r="B172" s="7">
        <v>0.55000000000000004</v>
      </c>
      <c r="C172" s="8">
        <v>0.65</v>
      </c>
      <c r="E172" t="str">
        <f t="shared" si="4"/>
        <v xml:space="preserve">    {@"XK",0.550,0.650},</v>
      </c>
      <c r="F172">
        <v>155</v>
      </c>
    </row>
    <row r="173" spans="1:6" x14ac:dyDescent="0.2">
      <c r="A173" s="6" t="s">
        <v>154</v>
      </c>
      <c r="B173" s="7">
        <v>0.55000000000000004</v>
      </c>
      <c r="C173" s="8">
        <v>0.65</v>
      </c>
      <c r="E173" t="str">
        <f t="shared" si="4"/>
        <v xml:space="preserve">    {@"XKG",0.550,0.650},</v>
      </c>
      <c r="F173">
        <v>156</v>
      </c>
    </row>
    <row r="174" spans="1:6" x14ac:dyDescent="0.2">
      <c r="A174" s="6" t="s">
        <v>155</v>
      </c>
      <c r="B174" s="7">
        <v>0.68</v>
      </c>
      <c r="C174" s="8">
        <v>0.78</v>
      </c>
      <c r="E174" t="str">
        <f t="shared" si="4"/>
        <v xml:space="preserve">    {@"XKX",0.680,0.780},</v>
      </c>
      <c r="F174">
        <v>157</v>
      </c>
    </row>
    <row r="175" spans="1:6" x14ac:dyDescent="0.2">
      <c r="A175" s="6" t="s">
        <v>156</v>
      </c>
      <c r="B175" s="7">
        <v>0.68</v>
      </c>
      <c r="C175" s="8">
        <v>0.78</v>
      </c>
      <c r="E175" t="str">
        <f t="shared" si="4"/>
        <v xml:space="preserve">    {@"XKXG",0.680,0.780},</v>
      </c>
      <c r="F175">
        <v>158</v>
      </c>
    </row>
    <row r="176" spans="1:6" x14ac:dyDescent="0.2">
      <c r="A176" s="6" t="s">
        <v>157</v>
      </c>
      <c r="B176" s="7">
        <v>0.52</v>
      </c>
      <c r="C176" s="8">
        <v>0.62</v>
      </c>
      <c r="E176" t="str">
        <f t="shared" si="4"/>
        <v xml:space="preserve">    {@"XS",0.520,0.620},</v>
      </c>
      <c r="F176">
        <v>159</v>
      </c>
    </row>
    <row r="177" spans="1:6" x14ac:dyDescent="0.2">
      <c r="A177" s="9" t="s">
        <v>158</v>
      </c>
      <c r="B177" s="10">
        <v>0.52</v>
      </c>
      <c r="C177" s="16">
        <v>0.62</v>
      </c>
      <c r="E177" t="str">
        <f t="shared" si="4"/>
        <v xml:space="preserve">    {@"XSG",0.520,0.620},</v>
      </c>
      <c r="F177">
        <v>160</v>
      </c>
    </row>
    <row r="178" spans="1:6" x14ac:dyDescent="0.2">
      <c r="A178" s="6" t="s">
        <v>159</v>
      </c>
      <c r="B178" s="7">
        <v>0.65</v>
      </c>
      <c r="C178" s="8">
        <v>0.75</v>
      </c>
      <c r="E178" t="str">
        <f t="shared" si="4"/>
        <v xml:space="preserve">    {@"XSX",0.650,0.750},</v>
      </c>
      <c r="F178">
        <v>161</v>
      </c>
    </row>
    <row r="179" spans="1:6" x14ac:dyDescent="0.2">
      <c r="A179" s="9" t="s">
        <v>160</v>
      </c>
      <c r="B179" s="10">
        <v>0.65</v>
      </c>
      <c r="C179" s="11">
        <v>0.75</v>
      </c>
      <c r="E179" t="str">
        <f t="shared" si="4"/>
        <v xml:space="preserve">    {@"XSXG",0.650,0.750},</v>
      </c>
      <c r="F179">
        <v>162</v>
      </c>
    </row>
    <row r="180" spans="1:6" x14ac:dyDescent="0.2">
      <c r="A180" s="6" t="s">
        <v>161</v>
      </c>
      <c r="B180" s="7">
        <v>0.62</v>
      </c>
      <c r="C180" s="8">
        <v>0.72</v>
      </c>
      <c r="E180" t="str">
        <f t="shared" si="4"/>
        <v xml:space="preserve">    {@"XTT",0.620,0.720},</v>
      </c>
      <c r="F180">
        <v>163</v>
      </c>
    </row>
    <row r="181" spans="1:6" x14ac:dyDescent="0.2">
      <c r="A181" s="6" t="s">
        <v>162</v>
      </c>
      <c r="B181" s="7">
        <v>0.62</v>
      </c>
      <c r="C181" s="8">
        <v>0.72</v>
      </c>
      <c r="E181" t="str">
        <f t="shared" si="4"/>
        <v xml:space="preserve">    {@"XTTG",0.620,0.720},</v>
      </c>
      <c r="F181">
        <v>164</v>
      </c>
    </row>
    <row r="182" spans="1:6" x14ac:dyDescent="0.2">
      <c r="A182" s="6" t="s">
        <v>163</v>
      </c>
      <c r="B182" s="7">
        <v>0.71</v>
      </c>
      <c r="C182" s="8">
        <v>0.80999999999999994</v>
      </c>
      <c r="E182" t="str">
        <f t="shared" si="4"/>
        <v xml:space="preserve">    {@"XTTS",0.710,0.810},</v>
      </c>
      <c r="F182">
        <v>165</v>
      </c>
    </row>
    <row r="183" spans="1:6" x14ac:dyDescent="0.2">
      <c r="A183" s="6" t="s">
        <v>164</v>
      </c>
      <c r="B183" s="7">
        <v>0.71</v>
      </c>
      <c r="C183" s="8">
        <v>0.80999999999999994</v>
      </c>
      <c r="E183" t="str">
        <f t="shared" si="4"/>
        <v xml:space="preserve">    {@"XTTSG",0.710,0.810},</v>
      </c>
      <c r="F183">
        <v>166</v>
      </c>
    </row>
    <row r="184" spans="1:6" x14ac:dyDescent="0.2">
      <c r="A184" s="6" t="s">
        <v>165</v>
      </c>
      <c r="B184" s="7">
        <v>0.71</v>
      </c>
      <c r="C184" s="8">
        <v>0.80999999999999994</v>
      </c>
      <c r="E184" t="str">
        <f t="shared" si="4"/>
        <v xml:space="preserve">    {@"XTTT",0.710,0.810},</v>
      </c>
      <c r="F184">
        <v>167</v>
      </c>
    </row>
    <row r="185" spans="1:6" x14ac:dyDescent="0.2">
      <c r="A185" s="6" t="s">
        <v>166</v>
      </c>
      <c r="B185" s="7">
        <v>0.71</v>
      </c>
      <c r="C185" s="8">
        <v>0.80999999999999994</v>
      </c>
      <c r="E185" t="str">
        <f t="shared" si="4"/>
        <v xml:space="preserve">    {@"XTTTG",0.710,0.810},</v>
      </c>
      <c r="F185">
        <v>168</v>
      </c>
    </row>
    <row r="186" spans="1:6" x14ac:dyDescent="0.2">
      <c r="A186" s="6" t="s">
        <v>167</v>
      </c>
      <c r="B186" s="7">
        <v>0.74</v>
      </c>
      <c r="C186" s="8">
        <v>0.84</v>
      </c>
      <c r="E186" t="str">
        <f t="shared" si="4"/>
        <v xml:space="preserve">    {@"XTTX",0.740,0.840},</v>
      </c>
      <c r="F186">
        <v>169</v>
      </c>
    </row>
    <row r="187" spans="1:6" x14ac:dyDescent="0.2">
      <c r="A187" s="6" t="s">
        <v>168</v>
      </c>
      <c r="B187" s="7">
        <v>0.41000000000000003</v>
      </c>
      <c r="C187" s="8">
        <v>0.51</v>
      </c>
      <c r="E187" t="str">
        <f t="shared" si="4"/>
        <v xml:space="preserve">    {@"Y",0.410,0.510},</v>
      </c>
      <c r="F187">
        <v>170</v>
      </c>
    </row>
    <row r="188" spans="1:6" x14ac:dyDescent="0.2">
      <c r="A188" s="6" t="s">
        <v>169</v>
      </c>
      <c r="B188" s="7">
        <v>0.41000000000000003</v>
      </c>
      <c r="C188" s="8">
        <v>0.51</v>
      </c>
      <c r="E188" t="str">
        <f t="shared" si="4"/>
        <v xml:space="preserve">    {@"YG",0.410,0.510},</v>
      </c>
      <c r="F188">
        <v>171</v>
      </c>
    </row>
    <row r="189" spans="1:6" x14ac:dyDescent="0.2">
      <c r="A189" s="6" t="s">
        <v>170</v>
      </c>
      <c r="B189" s="7">
        <v>0.55000000000000004</v>
      </c>
      <c r="C189" s="8">
        <v>0.65</v>
      </c>
      <c r="E189" t="str">
        <f t="shared" si="4"/>
        <v xml:space="preserve">    {@"YK",0.550,0.650},</v>
      </c>
      <c r="F189">
        <v>172</v>
      </c>
    </row>
    <row r="190" spans="1:6" x14ac:dyDescent="0.2">
      <c r="A190" s="6" t="s">
        <v>171</v>
      </c>
      <c r="B190" s="7">
        <v>0.55000000000000004</v>
      </c>
      <c r="C190" s="8">
        <v>0.65</v>
      </c>
      <c r="E190" t="str">
        <f t="shared" si="4"/>
        <v xml:space="preserve">    {@"YKG",0.550,0.650},</v>
      </c>
      <c r="F190">
        <v>173</v>
      </c>
    </row>
    <row r="191" spans="1:6" x14ac:dyDescent="0.2">
      <c r="A191" s="6" t="s">
        <v>172</v>
      </c>
      <c r="B191" s="7">
        <v>0.68</v>
      </c>
      <c r="C191" s="8">
        <v>0.78</v>
      </c>
      <c r="E191" t="str">
        <f t="shared" si="4"/>
        <v xml:space="preserve">    {@"YKX",0.680,0.780},</v>
      </c>
      <c r="F191">
        <v>174</v>
      </c>
    </row>
    <row r="192" spans="1:6" x14ac:dyDescent="0.2">
      <c r="A192" s="9" t="s">
        <v>173</v>
      </c>
      <c r="B192" s="10">
        <v>0.68</v>
      </c>
      <c r="C192" s="11">
        <v>0.78</v>
      </c>
      <c r="E192" t="str">
        <f t="shared" si="4"/>
        <v xml:space="preserve">    {@"YKXG",0.680,0.780},</v>
      </c>
      <c r="F192">
        <v>175</v>
      </c>
    </row>
    <row r="193" spans="1:6" x14ac:dyDescent="0.2">
      <c r="A193" s="6" t="s">
        <v>174</v>
      </c>
      <c r="B193" s="7">
        <v>0.52</v>
      </c>
      <c r="C193" s="8">
        <v>0.62</v>
      </c>
      <c r="E193" t="str">
        <f t="shared" si="4"/>
        <v xml:space="preserve">    {@"YS",0.520,0.620},</v>
      </c>
      <c r="F193">
        <v>176</v>
      </c>
    </row>
    <row r="194" spans="1:6" x14ac:dyDescent="0.2">
      <c r="A194" s="12" t="s">
        <v>174</v>
      </c>
      <c r="B194" s="13">
        <v>0.52</v>
      </c>
      <c r="C194" s="14">
        <v>0.62</v>
      </c>
      <c r="E194" t="str">
        <f t="shared" si="4"/>
        <v xml:space="preserve">    {@"YS",0.520,0.620},</v>
      </c>
      <c r="F194">
        <v>177</v>
      </c>
    </row>
    <row r="195" spans="1:6" x14ac:dyDescent="0.2">
      <c r="A195" s="6" t="s">
        <v>175</v>
      </c>
      <c r="B195" s="7">
        <v>0.52</v>
      </c>
      <c r="C195" s="8">
        <v>0.62</v>
      </c>
      <c r="E195" t="str">
        <f t="shared" si="4"/>
        <v xml:space="preserve">    {@"YSG",0.520,0.620},</v>
      </c>
      <c r="F195">
        <v>178</v>
      </c>
    </row>
    <row r="196" spans="1:6" x14ac:dyDescent="0.2">
      <c r="A196" s="9" t="s">
        <v>175</v>
      </c>
      <c r="B196" s="10">
        <v>0.52</v>
      </c>
      <c r="C196" s="16">
        <v>0.62</v>
      </c>
      <c r="E196" t="str">
        <f t="shared" si="4"/>
        <v xml:space="preserve">    {@"YSG",0.520,0.620},</v>
      </c>
      <c r="F196">
        <v>179</v>
      </c>
    </row>
    <row r="197" spans="1:6" x14ac:dyDescent="0.2">
      <c r="A197" s="6" t="s">
        <v>176</v>
      </c>
      <c r="B197" s="7">
        <v>0.52</v>
      </c>
      <c r="C197" s="8">
        <v>0.62</v>
      </c>
      <c r="E197" t="str">
        <f t="shared" si="4"/>
        <v xml:space="preserve">    {@"YT",0.520,0.620},</v>
      </c>
      <c r="F197">
        <v>180</v>
      </c>
    </row>
    <row r="198" spans="1:6" x14ac:dyDescent="0.2">
      <c r="A198" s="6" t="s">
        <v>177</v>
      </c>
      <c r="B198" s="7">
        <v>0.52</v>
      </c>
      <c r="C198" s="8">
        <v>0.62</v>
      </c>
      <c r="E198" t="str">
        <f t="shared" si="4"/>
        <v xml:space="preserve">    {@"YTG",0.520,0.620},</v>
      </c>
      <c r="F198">
        <v>181</v>
      </c>
    </row>
    <row r="199" spans="1:6" x14ac:dyDescent="0.2">
      <c r="A199" s="6" t="s">
        <v>178</v>
      </c>
      <c r="B199" s="7">
        <v>0.62</v>
      </c>
      <c r="C199" s="8">
        <v>0.72</v>
      </c>
      <c r="E199" t="str">
        <f t="shared" si="4"/>
        <v xml:space="preserve">    {@"YTS",0.620,0.720},</v>
      </c>
      <c r="F199">
        <v>182</v>
      </c>
    </row>
    <row r="200" spans="1:6" x14ac:dyDescent="0.2">
      <c r="A200" s="6" t="s">
        <v>179</v>
      </c>
      <c r="B200" s="7">
        <v>0.62</v>
      </c>
      <c r="C200" s="8">
        <v>0.72</v>
      </c>
      <c r="E200" t="str">
        <f t="shared" si="4"/>
        <v xml:space="preserve">    {@"YTSG",0.620,0.720},</v>
      </c>
      <c r="F200">
        <v>183</v>
      </c>
    </row>
    <row r="201" spans="1:6" x14ac:dyDescent="0.2">
      <c r="A201" s="6" t="s">
        <v>180</v>
      </c>
      <c r="B201" s="7">
        <v>0.71</v>
      </c>
      <c r="C201" s="8">
        <v>0.80999999999999994</v>
      </c>
      <c r="E201" t="str">
        <f t="shared" si="4"/>
        <v xml:space="preserve">    {@"YTTS",0.710,0.810},</v>
      </c>
      <c r="F201">
        <v>184</v>
      </c>
    </row>
    <row r="202" spans="1:6" x14ac:dyDescent="0.2">
      <c r="A202" s="6" t="s">
        <v>181</v>
      </c>
      <c r="B202" s="7">
        <v>0.71</v>
      </c>
      <c r="C202" s="8">
        <v>0.80999999999999994</v>
      </c>
      <c r="E202" t="str">
        <f t="shared" si="4"/>
        <v xml:space="preserve">    {@"YTTSG",0.710,0.810},</v>
      </c>
      <c r="F202">
        <v>185</v>
      </c>
    </row>
    <row r="203" spans="1:6" x14ac:dyDescent="0.2">
      <c r="A203" s="6" t="s">
        <v>182</v>
      </c>
      <c r="B203" s="7">
        <v>0.65</v>
      </c>
      <c r="C203" s="8">
        <v>0.75</v>
      </c>
      <c r="E203" t="str">
        <f t="shared" si="4"/>
        <v xml:space="preserve">    {@"YXS",0.650,0.750},</v>
      </c>
      <c r="F203">
        <v>186</v>
      </c>
    </row>
    <row r="204" spans="1:6" x14ac:dyDescent="0.2">
      <c r="A204" s="6" t="s">
        <v>183</v>
      </c>
      <c r="B204" s="7">
        <v>0.65</v>
      </c>
      <c r="C204" s="8">
        <v>0.75</v>
      </c>
      <c r="E204" t="str">
        <f t="shared" si="4"/>
        <v xml:space="preserve">    {@"YXSG",0.650,0.750},</v>
      </c>
      <c r="F204">
        <v>187</v>
      </c>
    </row>
    <row r="205" spans="1:6" x14ac:dyDescent="0.2">
      <c r="A205" s="6" t="s">
        <v>184</v>
      </c>
      <c r="B205" s="7">
        <v>0.4</v>
      </c>
      <c r="C205" s="8">
        <v>0.5</v>
      </c>
      <c r="E205" t="str">
        <f t="shared" si="4"/>
        <v xml:space="preserve">    {@"Z",0.400,0.500},</v>
      </c>
      <c r="F205">
        <v>188</v>
      </c>
    </row>
    <row r="206" spans="1:6" ht="12.5" thickBot="1" x14ac:dyDescent="0.25">
      <c r="A206" s="17" t="s">
        <v>185</v>
      </c>
      <c r="B206" s="18">
        <v>0.4</v>
      </c>
      <c r="C206" s="19">
        <v>0.5</v>
      </c>
      <c r="E206" t="str">
        <f t="shared" si="4"/>
        <v xml:space="preserve">    {@"ZG",0.400,0.500},</v>
      </c>
      <c r="F206">
        <v>189</v>
      </c>
    </row>
    <row r="207" spans="1:6" ht="13" thickTop="1" thickBot="1" x14ac:dyDescent="0.25">
      <c r="A207" s="17" t="s">
        <v>231</v>
      </c>
      <c r="B207" s="7">
        <v>0.51</v>
      </c>
      <c r="C207" s="8">
        <v>0.61</v>
      </c>
      <c r="E207" t="str">
        <f t="shared" si="4"/>
        <v xml:space="preserve">    {@"ZSG",0.510,0.610},</v>
      </c>
      <c r="F207">
        <v>190</v>
      </c>
    </row>
    <row r="208" spans="1:6" ht="12.5" thickTop="1" x14ac:dyDescent="0.2"/>
  </sheetData>
  <sortState xmlns:xlrd2="http://schemas.microsoft.com/office/spreadsheetml/2017/richdata2" ref="A43:J55">
    <sortCondition ref="A43:A55"/>
    <sortCondition ref="B43:B55"/>
  </sortState>
  <phoneticPr fontId="1"/>
  <conditionalFormatting sqref="B5 B45 B48:C48">
    <cfRule type="expression" dxfId="43" priority="15" stopIfTrue="1">
      <formula>B5&lt;&gt;D5</formula>
    </cfRule>
  </conditionalFormatting>
  <conditionalFormatting sqref="B91">
    <cfRule type="expression" dxfId="42" priority="32" stopIfTrue="1">
      <formula>B91&lt;&gt;D91</formula>
    </cfRule>
  </conditionalFormatting>
  <conditionalFormatting sqref="C8">
    <cfRule type="expression" dxfId="39" priority="26" stopIfTrue="1">
      <formula>C8&lt;&gt;E11</formula>
    </cfRule>
  </conditionalFormatting>
  <conditionalFormatting sqref="C91">
    <cfRule type="expression" dxfId="38" priority="22" stopIfTrue="1">
      <formula>C91&lt;&gt;E95</formula>
    </cfRule>
  </conditionalFormatting>
  <conditionalFormatting sqref="C15:C22">
    <cfRule type="expression" dxfId="37" priority="50" stopIfTrue="1">
      <formula>C15&lt;&gt;#REF!</formula>
    </cfRule>
  </conditionalFormatting>
  <conditionalFormatting sqref="B15:B16 B11 B29 B52:C54 B8 B24:B26">
    <cfRule type="expression" dxfId="32" priority="9" stopIfTrue="1">
      <formula>B8&lt;&gt;D8</formula>
    </cfRule>
  </conditionalFormatting>
  <conditionalFormatting sqref="B49">
    <cfRule type="expression" dxfId="31" priority="6" stopIfTrue="1">
      <formula>B49&lt;&gt;D49</formula>
    </cfRule>
  </conditionalFormatting>
  <conditionalFormatting sqref="C49">
    <cfRule type="expression" dxfId="30" priority="5" stopIfTrue="1">
      <formula>C49&lt;&gt;E10</formula>
    </cfRule>
  </conditionalFormatting>
  <conditionalFormatting sqref="B12">
    <cfRule type="expression" dxfId="29" priority="4" stopIfTrue="1">
      <formula>B12&lt;&gt;D12</formula>
    </cfRule>
  </conditionalFormatting>
  <conditionalFormatting sqref="C45">
    <cfRule type="expression" dxfId="28" priority="3" stopIfTrue="1">
      <formula>C45&lt;&gt;E47</formula>
    </cfRule>
  </conditionalFormatting>
  <conditionalFormatting sqref="B27:B28">
    <cfRule type="expression" dxfId="27" priority="2" stopIfTrue="1">
      <formula>B27&lt;&gt;D27</formula>
    </cfRule>
  </conditionalFormatting>
  <conditionalFormatting sqref="C27:C28">
    <cfRule type="expression" dxfId="26" priority="1" stopIfTrue="1">
      <formula>C27&lt;&gt;E175</formula>
    </cfRule>
  </conditionalFormatting>
  <conditionalFormatting sqref="C16">
    <cfRule type="expression" dxfId="25" priority="10" stopIfTrue="1">
      <formula>C16&lt;&gt;E22</formula>
    </cfRule>
  </conditionalFormatting>
  <conditionalFormatting sqref="C29 C15">
    <cfRule type="expression" dxfId="24" priority="11" stopIfTrue="1">
      <formula>C15&lt;&gt;E20</formula>
    </cfRule>
  </conditionalFormatting>
  <conditionalFormatting sqref="C24:C28">
    <cfRule type="expression" dxfId="23" priority="12" stopIfTrue="1">
      <formula>C24&lt;&gt;E31</formula>
    </cfRule>
  </conditionalFormatting>
  <conditionalFormatting sqref="C5">
    <cfRule type="expression" dxfId="22" priority="13" stopIfTrue="1">
      <formula>C5&lt;&gt;E4</formula>
    </cfRule>
  </conditionalFormatting>
  <conditionalFormatting sqref="C11">
    <cfRule type="expression" dxfId="21" priority="53" stopIfTrue="1">
      <formula>C11&lt;&gt;E24</formula>
    </cfRule>
  </conditionalFormatting>
  <conditionalFormatting sqref="C12">
    <cfRule type="expression" dxfId="20" priority="54" stopIfTrue="1">
      <formula>C12&lt;&gt;E26</formula>
    </cfRule>
  </conditionalFormatting>
  <conditionalFormatting sqref="C5">
    <cfRule type="expression" dxfId="19" priority="59" stopIfTrue="1">
      <formula>C5&lt;&gt;E46</formula>
    </cfRule>
  </conditionalFormatting>
  <conditionalFormatting sqref="C8">
    <cfRule type="expression" dxfId="18" priority="62" stopIfTrue="1">
      <formula>C8&lt;&gt;E50</formula>
    </cfRule>
  </conditionalFormatting>
  <conditionalFormatting sqref="C8">
    <cfRule type="expression" dxfId="17" priority="63" stopIfTrue="1">
      <formula>C8&lt;&gt;E51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3822-AA6F-4761-AA19-D5CD3D9F423E}">
  <sheetPr codeName="BasicSheet_DDMO">
    <tabColor rgb="FFFFFF00"/>
  </sheetPr>
  <dimension ref="A1:M210"/>
  <sheetViews>
    <sheetView zoomScale="130" zoomScaleNormal="130" workbookViewId="0">
      <pane xSplit="1" topLeftCell="B1" activePane="topRight" state="frozen"/>
      <selection pane="topRight" activeCell="A53" sqref="A2:XFD53"/>
    </sheetView>
  </sheetViews>
  <sheetFormatPr defaultColWidth="11.09765625" defaultRowHeight="12" x14ac:dyDescent="0.2"/>
  <cols>
    <col min="1" max="1" width="8.796875" style="20" bestFit="1" customWidth="1"/>
    <col min="2" max="3" width="6.3984375" style="7" bestFit="1" customWidth="1"/>
    <col min="4" max="4" width="7.3984375" style="21" bestFit="1" customWidth="1"/>
    <col min="5" max="5" width="5.3984375" style="22" bestFit="1" customWidth="1"/>
    <col min="6" max="6" width="11.09765625" style="21" customWidth="1"/>
    <col min="7" max="7" width="11.09765625" style="7" customWidth="1"/>
    <col min="8" max="8" width="11.09765625" style="23"/>
    <col min="9" max="9" width="11.09765625" style="24"/>
    <col min="10" max="12" width="11.09765625" style="21"/>
    <col min="13" max="13" width="11.09765625" style="24"/>
    <col min="14" max="16384" width="11.09765625" style="21"/>
  </cols>
  <sheetData>
    <row r="1" spans="1:13" ht="12.5" thickBot="1" x14ac:dyDescent="0.25">
      <c r="A1" s="20" t="s">
        <v>0</v>
      </c>
      <c r="B1" s="7">
        <v>0</v>
      </c>
      <c r="C1" s="7">
        <v>0</v>
      </c>
      <c r="H1" s="24"/>
      <c r="I1" s="21"/>
      <c r="M1" s="21"/>
    </row>
    <row r="2" spans="1:13" ht="13" thickTop="1" x14ac:dyDescent="0.25">
      <c r="A2" s="25" t="s">
        <v>225</v>
      </c>
      <c r="B2" s="26">
        <v>0.68</v>
      </c>
      <c r="C2" s="27">
        <v>0.78</v>
      </c>
      <c r="D2" s="28" t="s">
        <v>232</v>
      </c>
      <c r="E2" s="29"/>
      <c r="H2" s="24"/>
      <c r="I2" s="21"/>
      <c r="M2" s="21"/>
    </row>
    <row r="3" spans="1:13" ht="12.5" x14ac:dyDescent="0.25">
      <c r="A3" s="30" t="s">
        <v>226</v>
      </c>
      <c r="B3" s="31">
        <v>0.85</v>
      </c>
      <c r="C3" s="32">
        <v>0.95</v>
      </c>
      <c r="D3" s="28" t="s">
        <v>232</v>
      </c>
      <c r="E3" s="29"/>
      <c r="H3" s="24"/>
      <c r="I3" s="21"/>
      <c r="M3" s="21"/>
    </row>
    <row r="4" spans="1:13" ht="12.5" x14ac:dyDescent="0.25">
      <c r="A4" s="30" t="s">
        <v>227</v>
      </c>
      <c r="B4" s="31">
        <v>1.02</v>
      </c>
      <c r="C4" s="32">
        <v>1.1200000000000001</v>
      </c>
      <c r="D4" s="28" t="s">
        <v>232</v>
      </c>
      <c r="E4" s="29"/>
      <c r="H4" s="24"/>
      <c r="I4" s="21"/>
      <c r="M4" s="21"/>
    </row>
    <row r="5" spans="1:13" ht="12.5" x14ac:dyDescent="0.25">
      <c r="A5" s="33" t="s">
        <v>1</v>
      </c>
      <c r="B5" s="31">
        <v>0.71</v>
      </c>
      <c r="C5" s="32">
        <v>0.81</v>
      </c>
      <c r="D5" s="28" t="s">
        <v>232</v>
      </c>
      <c r="E5" s="29"/>
      <c r="H5" s="24"/>
      <c r="I5" s="21"/>
      <c r="M5" s="21"/>
    </row>
    <row r="6" spans="1:13" ht="12.5" x14ac:dyDescent="0.25">
      <c r="A6" s="33" t="s">
        <v>233</v>
      </c>
      <c r="B6" s="31">
        <v>0.74</v>
      </c>
      <c r="C6" s="32">
        <v>0.84</v>
      </c>
      <c r="D6" s="28" t="s">
        <v>232</v>
      </c>
      <c r="E6" s="29"/>
      <c r="H6" s="24"/>
      <c r="I6" s="21"/>
      <c r="M6" s="21"/>
    </row>
    <row r="7" spans="1:13" ht="12.5" x14ac:dyDescent="0.25">
      <c r="A7" s="33" t="s">
        <v>234</v>
      </c>
      <c r="B7" s="34">
        <v>0.73</v>
      </c>
      <c r="C7" s="32">
        <v>0.83</v>
      </c>
      <c r="D7" s="28"/>
      <c r="E7" s="29">
        <v>0.73</v>
      </c>
      <c r="H7" s="24" t="s">
        <v>235</v>
      </c>
      <c r="I7" s="21"/>
      <c r="J7" s="21">
        <v>0.73</v>
      </c>
      <c r="M7" s="21"/>
    </row>
    <row r="8" spans="1:13" ht="12.5" x14ac:dyDescent="0.25">
      <c r="A8" s="33" t="s">
        <v>2</v>
      </c>
      <c r="B8" s="34">
        <v>0.8</v>
      </c>
      <c r="C8" s="32">
        <v>0.9</v>
      </c>
      <c r="D8" s="28"/>
      <c r="E8" s="29">
        <v>0.8</v>
      </c>
      <c r="H8" s="24" t="s">
        <v>236</v>
      </c>
      <c r="I8" s="21"/>
      <c r="J8" s="21">
        <v>0.8</v>
      </c>
      <c r="M8" s="21"/>
    </row>
    <row r="9" spans="1:13" ht="12.5" x14ac:dyDescent="0.25">
      <c r="A9" s="33" t="s">
        <v>237</v>
      </c>
      <c r="B9" s="34">
        <v>0.68</v>
      </c>
      <c r="C9" s="32">
        <v>0.78</v>
      </c>
      <c r="D9" s="28"/>
      <c r="E9" s="21">
        <v>0.68</v>
      </c>
      <c r="H9" s="24" t="s">
        <v>238</v>
      </c>
      <c r="I9" s="21"/>
      <c r="J9" s="21">
        <v>0.68</v>
      </c>
      <c r="M9" s="21"/>
    </row>
    <row r="10" spans="1:13" ht="12.5" x14ac:dyDescent="0.25">
      <c r="A10" s="33" t="s">
        <v>239</v>
      </c>
      <c r="B10" s="34">
        <v>0.73</v>
      </c>
      <c r="C10" s="32">
        <v>0.83</v>
      </c>
      <c r="D10" s="28"/>
      <c r="E10" s="21">
        <v>0.73</v>
      </c>
      <c r="H10" s="24" t="s">
        <v>235</v>
      </c>
      <c r="I10" s="21"/>
      <c r="J10" s="21">
        <v>0.73</v>
      </c>
      <c r="M10" s="21"/>
    </row>
    <row r="11" spans="1:13" ht="12.5" x14ac:dyDescent="0.25">
      <c r="A11" s="33" t="s">
        <v>4</v>
      </c>
      <c r="B11" s="34">
        <v>0.8</v>
      </c>
      <c r="C11" s="32">
        <v>0.9</v>
      </c>
      <c r="D11" s="28"/>
      <c r="E11" s="21">
        <v>0.8</v>
      </c>
      <c r="H11" s="24" t="s">
        <v>236</v>
      </c>
      <c r="I11" s="21"/>
      <c r="J11" s="21">
        <v>0.8</v>
      </c>
      <c r="M11" s="21"/>
    </row>
    <row r="12" spans="1:13" ht="12.5" x14ac:dyDescent="0.25">
      <c r="A12" s="33" t="s">
        <v>228</v>
      </c>
      <c r="B12" s="31">
        <v>0.71</v>
      </c>
      <c r="C12" s="32">
        <v>0.81</v>
      </c>
      <c r="D12" s="28" t="s">
        <v>232</v>
      </c>
      <c r="E12" s="29"/>
      <c r="H12" s="24"/>
      <c r="I12" s="21"/>
      <c r="M12" s="21"/>
    </row>
    <row r="13" spans="1:13" ht="12.5" x14ac:dyDescent="0.25">
      <c r="A13" s="33" t="s">
        <v>5</v>
      </c>
      <c r="B13" s="31">
        <v>0.88</v>
      </c>
      <c r="C13" s="32">
        <v>0.98</v>
      </c>
      <c r="D13" s="28" t="s">
        <v>232</v>
      </c>
      <c r="E13" s="35"/>
      <c r="H13" s="24"/>
      <c r="I13" s="21"/>
      <c r="M13" s="21"/>
    </row>
    <row r="14" spans="1:13" ht="12.5" x14ac:dyDescent="0.25">
      <c r="A14" s="33" t="s">
        <v>240</v>
      </c>
      <c r="B14" s="34">
        <v>0.92</v>
      </c>
      <c r="C14" s="32">
        <v>1.02</v>
      </c>
      <c r="D14" s="28"/>
      <c r="E14" s="29">
        <v>0.92</v>
      </c>
      <c r="H14" s="24" t="s">
        <v>241</v>
      </c>
      <c r="I14" s="21"/>
      <c r="J14" s="21">
        <v>0.92</v>
      </c>
      <c r="M14" s="21"/>
    </row>
    <row r="15" spans="1:13" ht="12.5" x14ac:dyDescent="0.25">
      <c r="A15" s="33" t="s">
        <v>6</v>
      </c>
      <c r="B15" s="34">
        <v>0.99</v>
      </c>
      <c r="C15" s="32">
        <v>1.0900000000000001</v>
      </c>
      <c r="D15" s="28"/>
      <c r="E15" s="29">
        <v>0.99</v>
      </c>
      <c r="H15" s="24" t="s">
        <v>242</v>
      </c>
      <c r="I15" s="21"/>
      <c r="J15" s="21">
        <v>0.99</v>
      </c>
      <c r="M15" s="21"/>
    </row>
    <row r="16" spans="1:13" ht="12.5" x14ac:dyDescent="0.25">
      <c r="A16" s="33" t="s">
        <v>243</v>
      </c>
      <c r="B16" s="34">
        <v>0.92</v>
      </c>
      <c r="C16" s="32">
        <v>1.02</v>
      </c>
      <c r="D16" s="28"/>
      <c r="E16" s="21">
        <v>0.92</v>
      </c>
      <c r="H16" s="24" t="s">
        <v>241</v>
      </c>
      <c r="I16" s="21"/>
      <c r="J16" s="21">
        <v>0.92</v>
      </c>
      <c r="M16" s="21"/>
    </row>
    <row r="17" spans="1:13" ht="12.5" x14ac:dyDescent="0.25">
      <c r="A17" s="33" t="s">
        <v>8</v>
      </c>
      <c r="B17" s="34">
        <v>0.99</v>
      </c>
      <c r="C17" s="32">
        <v>1.0900000000000001</v>
      </c>
      <c r="D17" s="28"/>
      <c r="E17" s="21">
        <v>0.99</v>
      </c>
      <c r="H17" s="24" t="s">
        <v>242</v>
      </c>
      <c r="I17" s="21"/>
      <c r="J17" s="21">
        <v>0.99</v>
      </c>
      <c r="M17" s="21"/>
    </row>
    <row r="18" spans="1:13" ht="12.5" x14ac:dyDescent="0.25">
      <c r="A18" s="33" t="s">
        <v>9</v>
      </c>
      <c r="B18" s="31">
        <v>0.88</v>
      </c>
      <c r="C18" s="32">
        <v>0.98</v>
      </c>
      <c r="D18" s="28" t="s">
        <v>232</v>
      </c>
      <c r="E18" s="29"/>
      <c r="H18" s="24"/>
      <c r="I18" s="21"/>
      <c r="M18" s="21"/>
    </row>
    <row r="19" spans="1:13" ht="12.5" x14ac:dyDescent="0.25">
      <c r="A19" s="33" t="s">
        <v>10</v>
      </c>
      <c r="B19" s="31">
        <v>1.05</v>
      </c>
      <c r="C19" s="32">
        <v>1.1499999999999999</v>
      </c>
      <c r="D19" s="28" t="s">
        <v>232</v>
      </c>
      <c r="E19" s="29"/>
      <c r="H19" s="24"/>
      <c r="I19" s="21"/>
      <c r="M19" s="21"/>
    </row>
    <row r="20" spans="1:13" ht="12.5" x14ac:dyDescent="0.25">
      <c r="A20" s="33" t="s">
        <v>244</v>
      </c>
      <c r="B20" s="34">
        <v>1.0900000000000001</v>
      </c>
      <c r="C20" s="32">
        <v>1.19</v>
      </c>
      <c r="D20" s="28"/>
      <c r="E20" s="21">
        <v>1.0900000000000001</v>
      </c>
      <c r="H20" s="24" t="s">
        <v>245</v>
      </c>
      <c r="I20" s="21"/>
      <c r="J20" s="21">
        <v>1.0900000000000001</v>
      </c>
      <c r="M20" s="21"/>
    </row>
    <row r="21" spans="1:13" ht="12.5" x14ac:dyDescent="0.25">
      <c r="A21" s="33" t="s">
        <v>11</v>
      </c>
      <c r="B21" s="34">
        <v>1.18</v>
      </c>
      <c r="C21" s="32">
        <v>1.28</v>
      </c>
      <c r="D21" s="28"/>
      <c r="E21" s="21">
        <v>1.18</v>
      </c>
      <c r="H21" s="24" t="s">
        <v>246</v>
      </c>
      <c r="I21" s="21"/>
      <c r="J21" s="21">
        <v>1.18</v>
      </c>
      <c r="M21" s="21"/>
    </row>
    <row r="22" spans="1:13" ht="12.5" x14ac:dyDescent="0.25">
      <c r="A22" s="33" t="s">
        <v>247</v>
      </c>
      <c r="B22" s="34">
        <v>1.1100000000000001</v>
      </c>
      <c r="C22" s="32">
        <v>1.21</v>
      </c>
      <c r="D22" s="28"/>
      <c r="E22" s="21">
        <v>1.1100000000000001</v>
      </c>
      <c r="H22" s="24" t="s">
        <v>248</v>
      </c>
      <c r="I22" s="21"/>
      <c r="J22" s="21">
        <v>1.1100000000000001</v>
      </c>
      <c r="M22" s="21"/>
    </row>
    <row r="23" spans="1:13" ht="12.5" x14ac:dyDescent="0.25">
      <c r="A23" s="33" t="s">
        <v>13</v>
      </c>
      <c r="B23" s="34">
        <v>1.18</v>
      </c>
      <c r="C23" s="32">
        <v>1.28</v>
      </c>
      <c r="D23" s="28"/>
      <c r="E23" s="21">
        <v>1.18</v>
      </c>
      <c r="H23" s="24" t="s">
        <v>246</v>
      </c>
      <c r="I23" s="21"/>
      <c r="J23" s="21">
        <v>1.18</v>
      </c>
      <c r="M23" s="21"/>
    </row>
    <row r="24" spans="1:13" ht="12.5" x14ac:dyDescent="0.25">
      <c r="A24" s="33" t="s">
        <v>14</v>
      </c>
      <c r="B24" s="31">
        <v>1.05</v>
      </c>
      <c r="C24" s="32">
        <v>1.1499999999999999</v>
      </c>
      <c r="D24" s="28" t="s">
        <v>232</v>
      </c>
      <c r="E24" s="35"/>
      <c r="H24" s="24"/>
      <c r="I24" s="21"/>
      <c r="M24" s="21"/>
    </row>
    <row r="25" spans="1:13" ht="12.5" x14ac:dyDescent="0.25">
      <c r="A25" s="33" t="s">
        <v>16</v>
      </c>
      <c r="B25" s="31">
        <v>1.22</v>
      </c>
      <c r="C25" s="32">
        <v>1.32</v>
      </c>
      <c r="D25" s="28" t="s">
        <v>232</v>
      </c>
      <c r="E25" s="29"/>
      <c r="H25" s="24"/>
      <c r="I25" s="21"/>
      <c r="M25" s="21"/>
    </row>
    <row r="26" spans="1:13" ht="12.5" x14ac:dyDescent="0.25">
      <c r="A26" s="33" t="s">
        <v>249</v>
      </c>
      <c r="B26" s="34">
        <v>1.3</v>
      </c>
      <c r="C26" s="32">
        <v>1.4</v>
      </c>
      <c r="D26" s="28"/>
      <c r="E26" s="21">
        <v>1.3</v>
      </c>
      <c r="H26" s="24" t="s">
        <v>250</v>
      </c>
      <c r="I26" s="21"/>
      <c r="J26" s="21">
        <v>1.3</v>
      </c>
      <c r="M26" s="21"/>
    </row>
    <row r="27" spans="1:13" ht="12.5" x14ac:dyDescent="0.25">
      <c r="A27" s="33" t="s">
        <v>17</v>
      </c>
      <c r="B27" s="34">
        <v>1.37</v>
      </c>
      <c r="C27" s="32">
        <v>1.47</v>
      </c>
      <c r="D27" s="28"/>
      <c r="E27" s="21">
        <v>1.37</v>
      </c>
      <c r="H27" s="24" t="s">
        <v>251</v>
      </c>
      <c r="I27" s="21"/>
      <c r="J27" s="21">
        <v>1.37</v>
      </c>
      <c r="M27" s="21"/>
    </row>
    <row r="28" spans="1:13" ht="12.5" x14ac:dyDescent="0.25">
      <c r="A28" s="33" t="s">
        <v>18</v>
      </c>
      <c r="B28" s="31">
        <v>0.68</v>
      </c>
      <c r="C28" s="32">
        <v>0.78</v>
      </c>
      <c r="D28" s="28" t="s">
        <v>232</v>
      </c>
      <c r="E28" s="29"/>
    </row>
    <row r="29" spans="1:13" ht="12.5" x14ac:dyDescent="0.25">
      <c r="A29" s="36" t="s">
        <v>19</v>
      </c>
      <c r="B29" s="31">
        <v>0.71</v>
      </c>
      <c r="C29" s="32">
        <v>0.81</v>
      </c>
      <c r="D29" s="28" t="s">
        <v>232</v>
      </c>
      <c r="E29" s="29"/>
    </row>
    <row r="30" spans="1:13" ht="12.5" x14ac:dyDescent="0.25">
      <c r="A30" s="36" t="s">
        <v>20</v>
      </c>
      <c r="B30" s="31">
        <v>0.71</v>
      </c>
      <c r="C30" s="32">
        <v>0.81</v>
      </c>
      <c r="D30" s="28" t="s">
        <v>232</v>
      </c>
      <c r="E30" s="29"/>
    </row>
    <row r="31" spans="1:13" ht="12.5" x14ac:dyDescent="0.25">
      <c r="A31" s="36" t="s">
        <v>252</v>
      </c>
      <c r="B31" s="31">
        <v>0.74</v>
      </c>
      <c r="C31" s="32">
        <v>0.84</v>
      </c>
      <c r="D31" s="28" t="s">
        <v>232</v>
      </c>
      <c r="E31" s="29"/>
    </row>
    <row r="32" spans="1:13" ht="12.5" x14ac:dyDescent="0.25">
      <c r="A32" s="36" t="s">
        <v>253</v>
      </c>
      <c r="B32" s="31">
        <v>0.77</v>
      </c>
      <c r="C32" s="32">
        <v>0.87</v>
      </c>
      <c r="D32" s="28" t="s">
        <v>232</v>
      </c>
      <c r="E32" s="29"/>
    </row>
    <row r="33" spans="1:10" ht="12.5" x14ac:dyDescent="0.25">
      <c r="A33" s="37" t="s">
        <v>21</v>
      </c>
      <c r="B33" s="31">
        <v>0.68</v>
      </c>
      <c r="C33" s="32">
        <v>0.78</v>
      </c>
      <c r="D33" s="28" t="s">
        <v>232</v>
      </c>
      <c r="E33" s="29"/>
    </row>
    <row r="34" spans="1:10" ht="12.5" x14ac:dyDescent="0.25">
      <c r="A34" s="36" t="s">
        <v>254</v>
      </c>
      <c r="B34" s="34">
        <v>0.73</v>
      </c>
      <c r="C34" s="32">
        <v>0.83</v>
      </c>
      <c r="D34" s="38"/>
      <c r="E34" s="21">
        <v>0.73</v>
      </c>
      <c r="H34" s="23" t="s">
        <v>235</v>
      </c>
      <c r="J34" s="21">
        <v>0.73</v>
      </c>
    </row>
    <row r="35" spans="1:10" ht="12.5" x14ac:dyDescent="0.25">
      <c r="A35" s="36" t="s">
        <v>22</v>
      </c>
      <c r="B35" s="34">
        <v>0.8</v>
      </c>
      <c r="C35" s="32">
        <v>0.9</v>
      </c>
      <c r="D35" s="38"/>
      <c r="E35" s="21">
        <v>0.8</v>
      </c>
      <c r="H35" s="23" t="s">
        <v>236</v>
      </c>
      <c r="J35" s="21">
        <v>0.8</v>
      </c>
    </row>
    <row r="36" spans="1:10" ht="12.5" x14ac:dyDescent="0.25">
      <c r="A36" s="36" t="s">
        <v>23</v>
      </c>
      <c r="B36" s="34">
        <v>0.9</v>
      </c>
      <c r="C36" s="32">
        <v>1</v>
      </c>
      <c r="D36" s="28" t="s">
        <v>232</v>
      </c>
      <c r="E36" s="21">
        <v>0.9</v>
      </c>
      <c r="H36" s="23" t="s">
        <v>255</v>
      </c>
      <c r="J36" s="21">
        <v>0.9</v>
      </c>
    </row>
    <row r="37" spans="1:10" ht="12.5" x14ac:dyDescent="0.25">
      <c r="A37" s="36" t="s">
        <v>24</v>
      </c>
      <c r="B37" s="34">
        <v>1.0900000000000001</v>
      </c>
      <c r="C37" s="32">
        <v>1.19</v>
      </c>
      <c r="D37" s="28" t="s">
        <v>232</v>
      </c>
      <c r="E37" s="21">
        <v>1.0900000000000001</v>
      </c>
      <c r="H37" s="23" t="s">
        <v>256</v>
      </c>
      <c r="J37" s="21">
        <v>1.0900000000000001</v>
      </c>
    </row>
    <row r="38" spans="1:10" ht="12.5" x14ac:dyDescent="0.25">
      <c r="A38" s="33" t="s">
        <v>25</v>
      </c>
      <c r="B38" s="34">
        <v>1.28</v>
      </c>
      <c r="C38" s="32">
        <v>1.38</v>
      </c>
      <c r="D38" s="28" t="s">
        <v>232</v>
      </c>
      <c r="E38" s="21">
        <v>1.28</v>
      </c>
      <c r="H38" s="23" t="s">
        <v>257</v>
      </c>
      <c r="J38" s="21">
        <v>1.28</v>
      </c>
    </row>
    <row r="39" spans="1:10" ht="12.5" x14ac:dyDescent="0.25">
      <c r="A39" s="33" t="s">
        <v>26</v>
      </c>
      <c r="B39" s="39">
        <v>0.68</v>
      </c>
      <c r="C39" s="32">
        <v>0.78</v>
      </c>
      <c r="D39" s="28" t="s">
        <v>232</v>
      </c>
      <c r="E39" s="40"/>
    </row>
    <row r="40" spans="1:10" ht="12.5" x14ac:dyDescent="0.25">
      <c r="A40" s="33" t="s">
        <v>28</v>
      </c>
      <c r="B40" s="39">
        <v>0.71</v>
      </c>
      <c r="C40" s="32">
        <v>0.81</v>
      </c>
      <c r="D40" s="28" t="s">
        <v>232</v>
      </c>
      <c r="E40" s="41"/>
    </row>
    <row r="41" spans="1:10" ht="12.5" x14ac:dyDescent="0.25">
      <c r="A41" s="42" t="s">
        <v>258</v>
      </c>
      <c r="B41" s="34">
        <v>0.73</v>
      </c>
      <c r="C41" s="32">
        <v>0.83</v>
      </c>
      <c r="D41" s="28" t="s">
        <v>232</v>
      </c>
      <c r="E41" s="21">
        <v>0.73</v>
      </c>
      <c r="H41" s="23" t="s">
        <v>235</v>
      </c>
      <c r="J41" s="21">
        <v>0.73</v>
      </c>
    </row>
    <row r="42" spans="1:10" ht="12.5" x14ac:dyDescent="0.25">
      <c r="A42" s="33" t="s">
        <v>229</v>
      </c>
      <c r="B42" s="34">
        <v>0.8</v>
      </c>
      <c r="C42" s="32">
        <v>0.9</v>
      </c>
      <c r="D42" s="28" t="s">
        <v>232</v>
      </c>
      <c r="E42" s="21">
        <v>0.8</v>
      </c>
      <c r="H42" s="23" t="s">
        <v>236</v>
      </c>
      <c r="J42" s="21">
        <v>0.8</v>
      </c>
    </row>
    <row r="43" spans="1:10" ht="12.5" x14ac:dyDescent="0.25">
      <c r="A43" s="42" t="s">
        <v>30</v>
      </c>
      <c r="B43" s="34">
        <v>0.9</v>
      </c>
      <c r="C43" s="32">
        <v>1</v>
      </c>
      <c r="D43" s="28" t="s">
        <v>232</v>
      </c>
      <c r="E43" s="21">
        <v>0.9</v>
      </c>
      <c r="H43" s="23" t="s">
        <v>255</v>
      </c>
      <c r="J43" s="21">
        <v>0.9</v>
      </c>
    </row>
    <row r="44" spans="1:10" ht="12.5" x14ac:dyDescent="0.25">
      <c r="A44" s="42" t="s">
        <v>259</v>
      </c>
      <c r="B44" s="34">
        <v>1.0900000000000001</v>
      </c>
      <c r="C44" s="32">
        <v>1.19</v>
      </c>
      <c r="D44" s="28" t="s">
        <v>232</v>
      </c>
      <c r="E44" s="21">
        <v>1.0900000000000001</v>
      </c>
      <c r="H44" s="23" t="s">
        <v>256</v>
      </c>
      <c r="J44" s="21">
        <v>1.0900000000000001</v>
      </c>
    </row>
    <row r="45" spans="1:10" ht="12.5" x14ac:dyDescent="0.25">
      <c r="A45" s="42" t="s">
        <v>260</v>
      </c>
      <c r="B45" s="34">
        <v>1.28</v>
      </c>
      <c r="C45" s="32">
        <v>1.38</v>
      </c>
      <c r="D45" s="28" t="s">
        <v>232</v>
      </c>
      <c r="E45" s="21">
        <v>1.28</v>
      </c>
      <c r="H45" s="23" t="s">
        <v>257</v>
      </c>
      <c r="J45" s="21">
        <v>1.28</v>
      </c>
    </row>
    <row r="46" spans="1:10" ht="12.5" x14ac:dyDescent="0.25">
      <c r="A46" s="33" t="s">
        <v>31</v>
      </c>
      <c r="B46" s="39">
        <v>0.68</v>
      </c>
      <c r="C46" s="32">
        <v>0.78</v>
      </c>
      <c r="D46" s="28" t="s">
        <v>232</v>
      </c>
      <c r="E46" s="35"/>
    </row>
    <row r="47" spans="1:10" ht="12.5" x14ac:dyDescent="0.25">
      <c r="A47" s="5" t="s">
        <v>32</v>
      </c>
      <c r="B47" s="39">
        <v>0.71</v>
      </c>
      <c r="C47" s="32">
        <v>0.81</v>
      </c>
      <c r="D47" s="28" t="s">
        <v>232</v>
      </c>
      <c r="E47" s="35"/>
    </row>
    <row r="48" spans="1:10" ht="12.5" x14ac:dyDescent="0.25">
      <c r="A48" s="42" t="s">
        <v>261</v>
      </c>
      <c r="B48" s="34">
        <v>0.73</v>
      </c>
      <c r="C48" s="32">
        <v>0.83</v>
      </c>
      <c r="D48" s="28" t="s">
        <v>232</v>
      </c>
      <c r="E48" s="21">
        <v>0.73</v>
      </c>
      <c r="H48" s="23" t="s">
        <v>235</v>
      </c>
      <c r="J48" s="21">
        <v>0.73</v>
      </c>
    </row>
    <row r="49" spans="1:10" ht="12.5" x14ac:dyDescent="0.25">
      <c r="A49" s="33" t="s">
        <v>230</v>
      </c>
      <c r="B49" s="34">
        <v>0.8</v>
      </c>
      <c r="C49" s="32">
        <v>0.9</v>
      </c>
      <c r="D49" s="28" t="s">
        <v>232</v>
      </c>
      <c r="E49" s="21">
        <v>0.8</v>
      </c>
      <c r="H49" s="23" t="s">
        <v>236</v>
      </c>
      <c r="J49" s="21">
        <v>0.8</v>
      </c>
    </row>
    <row r="50" spans="1:10" ht="12.5" x14ac:dyDescent="0.25">
      <c r="A50" s="33" t="s">
        <v>34</v>
      </c>
      <c r="B50" s="39">
        <v>0.85</v>
      </c>
      <c r="C50" s="32">
        <v>0.95</v>
      </c>
      <c r="D50" s="28" t="s">
        <v>232</v>
      </c>
      <c r="E50" s="35"/>
    </row>
    <row r="51" spans="1:10" ht="12.5" x14ac:dyDescent="0.25">
      <c r="A51" s="33" t="s">
        <v>35</v>
      </c>
      <c r="B51" s="39">
        <v>0.88</v>
      </c>
      <c r="C51" s="32">
        <v>0.98</v>
      </c>
      <c r="D51" s="28" t="s">
        <v>232</v>
      </c>
      <c r="E51" s="35"/>
    </row>
    <row r="52" spans="1:10" ht="12.5" x14ac:dyDescent="0.25">
      <c r="A52" s="33" t="s">
        <v>262</v>
      </c>
      <c r="B52" s="34">
        <v>0.92</v>
      </c>
      <c r="C52" s="32">
        <v>1.02</v>
      </c>
      <c r="D52" s="28" t="s">
        <v>232</v>
      </c>
      <c r="E52" s="21">
        <v>0.92</v>
      </c>
      <c r="H52" s="23" t="s">
        <v>241</v>
      </c>
      <c r="J52" s="21">
        <v>0.92</v>
      </c>
    </row>
    <row r="53" spans="1:10" ht="12.5" x14ac:dyDescent="0.25">
      <c r="A53" s="33" t="s">
        <v>36</v>
      </c>
      <c r="B53" s="34">
        <v>0.99</v>
      </c>
      <c r="C53" s="32">
        <v>1.0900000000000001</v>
      </c>
      <c r="D53" s="28" t="s">
        <v>232</v>
      </c>
      <c r="E53" s="21">
        <v>0.99</v>
      </c>
      <c r="H53" s="23" t="s">
        <v>242</v>
      </c>
      <c r="J53" s="21">
        <v>0.99</v>
      </c>
    </row>
    <row r="54" spans="1:10" x14ac:dyDescent="0.2">
      <c r="A54" s="6" t="s">
        <v>37</v>
      </c>
      <c r="B54" s="7">
        <v>0.41000000000000003</v>
      </c>
      <c r="C54" s="8">
        <v>0.51</v>
      </c>
      <c r="E54" s="35"/>
    </row>
    <row r="55" spans="1:10" x14ac:dyDescent="0.2">
      <c r="A55" s="6" t="s">
        <v>38</v>
      </c>
      <c r="B55" s="7">
        <v>0.55000000000000004</v>
      </c>
      <c r="C55" s="8">
        <v>0.65</v>
      </c>
      <c r="E55" s="35"/>
    </row>
    <row r="56" spans="1:10" x14ac:dyDescent="0.2">
      <c r="A56" s="6" t="s">
        <v>39</v>
      </c>
      <c r="B56" s="7">
        <v>0.68</v>
      </c>
      <c r="C56" s="8">
        <v>0.78</v>
      </c>
      <c r="E56" s="35"/>
    </row>
    <row r="57" spans="1:10" x14ac:dyDescent="0.2">
      <c r="A57" s="43" t="s">
        <v>40</v>
      </c>
      <c r="B57" s="44">
        <v>0.68</v>
      </c>
      <c r="C57" s="45">
        <v>0.78</v>
      </c>
      <c r="E57" s="35"/>
    </row>
    <row r="58" spans="1:10" x14ac:dyDescent="0.2">
      <c r="A58" s="6" t="s">
        <v>41</v>
      </c>
      <c r="B58" s="7">
        <v>0.55000000000000004</v>
      </c>
      <c r="C58" s="8">
        <v>0.65</v>
      </c>
    </row>
    <row r="59" spans="1:10" x14ac:dyDescent="0.2">
      <c r="A59" s="6" t="s">
        <v>42</v>
      </c>
      <c r="B59" s="7">
        <v>0.65</v>
      </c>
      <c r="C59" s="8">
        <v>0.75</v>
      </c>
    </row>
    <row r="60" spans="1:10" x14ac:dyDescent="0.2">
      <c r="A60" s="6" t="s">
        <v>43</v>
      </c>
      <c r="B60" s="7">
        <v>0.65</v>
      </c>
      <c r="C60" s="8">
        <v>0.75</v>
      </c>
    </row>
    <row r="61" spans="1:10" x14ac:dyDescent="0.2">
      <c r="A61" s="6" t="s">
        <v>44</v>
      </c>
      <c r="B61" s="7">
        <v>0.74</v>
      </c>
      <c r="C61" s="8">
        <v>0.84</v>
      </c>
    </row>
    <row r="62" spans="1:10" x14ac:dyDescent="0.2">
      <c r="A62" s="6" t="s">
        <v>45</v>
      </c>
      <c r="B62" s="7">
        <v>0.74</v>
      </c>
      <c r="C62" s="8">
        <v>0.84</v>
      </c>
    </row>
    <row r="63" spans="1:10" x14ac:dyDescent="0.2">
      <c r="A63" s="6" t="s">
        <v>46</v>
      </c>
      <c r="B63" s="7">
        <v>0.82</v>
      </c>
      <c r="C63" s="8">
        <v>0.91999999999999993</v>
      </c>
    </row>
    <row r="64" spans="1:10" x14ac:dyDescent="0.2">
      <c r="A64" s="43" t="s">
        <v>47</v>
      </c>
      <c r="B64" s="44">
        <v>0.41000000000000003</v>
      </c>
      <c r="C64" s="45">
        <v>0.51</v>
      </c>
    </row>
    <row r="65" spans="1:3" x14ac:dyDescent="0.2">
      <c r="A65" s="6" t="s">
        <v>48</v>
      </c>
      <c r="B65" s="7">
        <v>0.55000000000000004</v>
      </c>
      <c r="C65" s="8">
        <v>0.65</v>
      </c>
    </row>
    <row r="66" spans="1:3" x14ac:dyDescent="0.2">
      <c r="A66" s="43" t="s">
        <v>49</v>
      </c>
      <c r="B66" s="44">
        <v>0.55000000000000004</v>
      </c>
      <c r="C66" s="45">
        <v>0.65</v>
      </c>
    </row>
    <row r="67" spans="1:3" x14ac:dyDescent="0.2">
      <c r="A67" s="6" t="s">
        <v>50</v>
      </c>
      <c r="B67" s="7">
        <v>0.52</v>
      </c>
      <c r="C67" s="8">
        <v>0.62</v>
      </c>
    </row>
    <row r="68" spans="1:3" x14ac:dyDescent="0.2">
      <c r="A68" s="6" t="s">
        <v>51</v>
      </c>
      <c r="B68" s="7">
        <v>0.52</v>
      </c>
      <c r="C68" s="8">
        <v>0.62</v>
      </c>
    </row>
    <row r="69" spans="1:3" x14ac:dyDescent="0.2">
      <c r="A69" s="6" t="s">
        <v>52</v>
      </c>
      <c r="B69" s="7">
        <v>0.52</v>
      </c>
      <c r="C69" s="8">
        <v>0.62</v>
      </c>
    </row>
    <row r="70" spans="1:3" x14ac:dyDescent="0.2">
      <c r="A70" s="6" t="s">
        <v>53</v>
      </c>
      <c r="B70" s="7">
        <v>0.52</v>
      </c>
      <c r="C70" s="8">
        <v>0.62</v>
      </c>
    </row>
    <row r="71" spans="1:3" x14ac:dyDescent="0.2">
      <c r="A71" s="6" t="s">
        <v>54</v>
      </c>
      <c r="B71" s="7">
        <v>0.62</v>
      </c>
      <c r="C71" s="8">
        <v>0.72</v>
      </c>
    </row>
    <row r="72" spans="1:3" x14ac:dyDescent="0.2">
      <c r="A72" s="43" t="s">
        <v>55</v>
      </c>
      <c r="B72" s="44">
        <v>0.62</v>
      </c>
      <c r="C72" s="45">
        <v>0.72</v>
      </c>
    </row>
    <row r="73" spans="1:3" x14ac:dyDescent="0.2">
      <c r="A73" s="6" t="s">
        <v>56</v>
      </c>
      <c r="B73" s="7">
        <v>0.62</v>
      </c>
      <c r="C73" s="8">
        <v>0.72</v>
      </c>
    </row>
    <row r="74" spans="1:3" x14ac:dyDescent="0.2">
      <c r="A74" s="43" t="s">
        <v>57</v>
      </c>
      <c r="B74" s="44">
        <v>0.62</v>
      </c>
      <c r="C74" s="45">
        <v>0.72</v>
      </c>
    </row>
    <row r="75" spans="1:3" x14ac:dyDescent="0.2">
      <c r="A75" s="6" t="s">
        <v>58</v>
      </c>
      <c r="B75" s="7">
        <v>0.71</v>
      </c>
      <c r="C75" s="8">
        <v>0.80999999999999994</v>
      </c>
    </row>
    <row r="76" spans="1:3" x14ac:dyDescent="0.2">
      <c r="A76" s="43" t="s">
        <v>59</v>
      </c>
      <c r="B76" s="44">
        <v>0.71</v>
      </c>
      <c r="C76" s="45">
        <v>0.80999999999999994</v>
      </c>
    </row>
    <row r="77" spans="1:3" x14ac:dyDescent="0.2">
      <c r="A77" s="6" t="s">
        <v>60</v>
      </c>
      <c r="B77" s="7">
        <v>0.65</v>
      </c>
      <c r="C77" s="8">
        <v>0.75</v>
      </c>
    </row>
    <row r="78" spans="1:3" x14ac:dyDescent="0.2">
      <c r="A78" s="43" t="s">
        <v>61</v>
      </c>
      <c r="B78" s="44">
        <v>0.65</v>
      </c>
      <c r="C78" s="45">
        <v>0.75</v>
      </c>
    </row>
    <row r="79" spans="1:3" x14ac:dyDescent="0.2">
      <c r="A79" s="6" t="s">
        <v>62</v>
      </c>
      <c r="B79" s="7">
        <v>0.41000000000000003</v>
      </c>
      <c r="C79" s="8">
        <v>0.51</v>
      </c>
    </row>
    <row r="80" spans="1:3" x14ac:dyDescent="0.2">
      <c r="A80" s="6" t="s">
        <v>63</v>
      </c>
      <c r="B80" s="7">
        <v>0.55000000000000004</v>
      </c>
      <c r="C80" s="8">
        <v>0.65</v>
      </c>
    </row>
    <row r="81" spans="1:3" x14ac:dyDescent="0.2">
      <c r="A81" s="6" t="s">
        <v>64</v>
      </c>
      <c r="B81" s="7">
        <v>0.68</v>
      </c>
      <c r="C81" s="8">
        <v>0.78</v>
      </c>
    </row>
    <row r="82" spans="1:3" x14ac:dyDescent="0.2">
      <c r="A82" s="6" t="s">
        <v>65</v>
      </c>
      <c r="B82" s="7">
        <v>0.55000000000000004</v>
      </c>
      <c r="C82" s="8">
        <v>0.65</v>
      </c>
    </row>
    <row r="83" spans="1:3" x14ac:dyDescent="0.2">
      <c r="A83" s="43" t="s">
        <v>66</v>
      </c>
      <c r="B83" s="44">
        <v>0.55000000000000004</v>
      </c>
      <c r="C83" s="45">
        <v>0.65</v>
      </c>
    </row>
    <row r="84" spans="1:3" x14ac:dyDescent="0.2">
      <c r="A84" s="6" t="s">
        <v>67</v>
      </c>
      <c r="B84" s="7">
        <v>0.52</v>
      </c>
      <c r="C84" s="8">
        <v>0.62</v>
      </c>
    </row>
    <row r="85" spans="1:3" x14ac:dyDescent="0.2">
      <c r="A85" s="6" t="s">
        <v>68</v>
      </c>
      <c r="B85" s="7">
        <v>0.62</v>
      </c>
      <c r="C85" s="8">
        <v>0.72</v>
      </c>
    </row>
    <row r="86" spans="1:3" x14ac:dyDescent="0.2">
      <c r="A86" s="6" t="s">
        <v>69</v>
      </c>
      <c r="B86" s="7">
        <v>0.55000000000000004</v>
      </c>
      <c r="C86" s="8">
        <v>0.65</v>
      </c>
    </row>
    <row r="87" spans="1:3" x14ac:dyDescent="0.2">
      <c r="A87" s="43" t="s">
        <v>70</v>
      </c>
      <c r="B87" s="44">
        <v>0.55000000000000004</v>
      </c>
      <c r="C87" s="45">
        <v>0.65</v>
      </c>
    </row>
    <row r="88" spans="1:3" x14ac:dyDescent="0.2">
      <c r="A88" s="6" t="s">
        <v>71</v>
      </c>
      <c r="B88" s="7">
        <v>0.55000000000000004</v>
      </c>
      <c r="C88" s="8">
        <v>0.65</v>
      </c>
    </row>
    <row r="89" spans="1:3" x14ac:dyDescent="0.2">
      <c r="A89" s="43" t="s">
        <v>72</v>
      </c>
      <c r="B89" s="44">
        <v>0.55000000000000004</v>
      </c>
      <c r="C89" s="45">
        <v>0.65</v>
      </c>
    </row>
    <row r="90" spans="1:3" x14ac:dyDescent="0.2">
      <c r="A90" s="6" t="s">
        <v>73</v>
      </c>
      <c r="B90" s="7">
        <v>0.41000000000000003</v>
      </c>
      <c r="C90" s="8">
        <v>0.51</v>
      </c>
    </row>
    <row r="91" spans="1:3" x14ac:dyDescent="0.2">
      <c r="A91" s="6" t="s">
        <v>74</v>
      </c>
      <c r="B91" s="7">
        <v>0.41000000000000003</v>
      </c>
      <c r="C91" s="8">
        <v>0.51</v>
      </c>
    </row>
    <row r="92" spans="1:3" x14ac:dyDescent="0.2">
      <c r="A92" s="46" t="s">
        <v>75</v>
      </c>
      <c r="B92" s="47">
        <v>0.52</v>
      </c>
      <c r="C92" s="45">
        <v>0.62</v>
      </c>
    </row>
    <row r="93" spans="1:3" x14ac:dyDescent="0.2">
      <c r="A93" s="43" t="s">
        <v>76</v>
      </c>
      <c r="B93" s="44">
        <v>0.52</v>
      </c>
      <c r="C93" s="45">
        <v>0.62</v>
      </c>
    </row>
    <row r="94" spans="1:3" x14ac:dyDescent="0.2">
      <c r="A94" s="6" t="s">
        <v>77</v>
      </c>
      <c r="B94" s="7">
        <v>0.38</v>
      </c>
      <c r="C94" s="8">
        <v>0.48</v>
      </c>
    </row>
    <row r="95" spans="1:3" x14ac:dyDescent="0.2">
      <c r="A95" s="6" t="s">
        <v>78</v>
      </c>
      <c r="B95" s="7">
        <v>0.52</v>
      </c>
      <c r="C95" s="8">
        <v>0.62</v>
      </c>
    </row>
    <row r="96" spans="1:3" x14ac:dyDescent="0.2">
      <c r="A96" s="6" t="s">
        <v>79</v>
      </c>
      <c r="B96" s="7">
        <v>0.52</v>
      </c>
      <c r="C96" s="8">
        <v>0.62</v>
      </c>
    </row>
    <row r="97" spans="1:3" x14ac:dyDescent="0.2">
      <c r="A97" s="6" t="s">
        <v>80</v>
      </c>
      <c r="B97" s="7">
        <v>0.38</v>
      </c>
      <c r="C97" s="8">
        <v>0.48</v>
      </c>
    </row>
    <row r="98" spans="1:3" x14ac:dyDescent="0.2">
      <c r="A98" s="6" t="s">
        <v>81</v>
      </c>
      <c r="B98" s="7">
        <v>0.52</v>
      </c>
      <c r="C98" s="8">
        <v>0.62</v>
      </c>
    </row>
    <row r="99" spans="1:3" x14ac:dyDescent="0.2">
      <c r="A99" s="6" t="s">
        <v>82</v>
      </c>
      <c r="B99" s="7">
        <v>0.49000000000000005</v>
      </c>
      <c r="C99" s="8">
        <v>0.59000000000000008</v>
      </c>
    </row>
    <row r="100" spans="1:3" x14ac:dyDescent="0.2">
      <c r="A100" s="6" t="s">
        <v>83</v>
      </c>
      <c r="B100" s="7">
        <v>0.49000000000000005</v>
      </c>
      <c r="C100" s="8">
        <v>0.59000000000000008</v>
      </c>
    </row>
    <row r="101" spans="1:3" x14ac:dyDescent="0.2">
      <c r="A101" s="6" t="s">
        <v>84</v>
      </c>
      <c r="B101" s="7">
        <v>0.59000000000000008</v>
      </c>
      <c r="C101" s="8">
        <v>0.69000000000000006</v>
      </c>
    </row>
    <row r="102" spans="1:3" x14ac:dyDescent="0.2">
      <c r="A102" s="6" t="s">
        <v>85</v>
      </c>
      <c r="B102" s="7">
        <v>0.59000000000000008</v>
      </c>
      <c r="C102" s="8">
        <v>0.69000000000000006</v>
      </c>
    </row>
    <row r="103" spans="1:3" x14ac:dyDescent="0.2">
      <c r="A103" s="6" t="s">
        <v>86</v>
      </c>
      <c r="B103" s="7">
        <v>0.49000000000000005</v>
      </c>
      <c r="C103" s="8">
        <v>0.59000000000000008</v>
      </c>
    </row>
    <row r="104" spans="1:3" x14ac:dyDescent="0.2">
      <c r="A104" s="6" t="s">
        <v>87</v>
      </c>
      <c r="B104" s="7">
        <v>0.49000000000000005</v>
      </c>
      <c r="C104" s="8">
        <v>0.59000000000000008</v>
      </c>
    </row>
    <row r="105" spans="1:3" x14ac:dyDescent="0.2">
      <c r="A105" s="6" t="s">
        <v>88</v>
      </c>
      <c r="B105" s="7">
        <v>0.62</v>
      </c>
      <c r="C105" s="8">
        <v>0.72</v>
      </c>
    </row>
    <row r="106" spans="1:3" x14ac:dyDescent="0.2">
      <c r="A106" s="6" t="s">
        <v>89</v>
      </c>
      <c r="B106" s="7">
        <v>0.62</v>
      </c>
      <c r="C106" s="8">
        <v>0.72</v>
      </c>
    </row>
    <row r="107" spans="1:3" x14ac:dyDescent="0.2">
      <c r="A107" s="6" t="s">
        <v>90</v>
      </c>
      <c r="B107" s="7">
        <v>0.59000000000000008</v>
      </c>
      <c r="C107" s="8">
        <v>0.69000000000000006</v>
      </c>
    </row>
    <row r="108" spans="1:3" x14ac:dyDescent="0.2">
      <c r="A108" s="6" t="s">
        <v>91</v>
      </c>
      <c r="B108" s="7">
        <v>0.59000000000000008</v>
      </c>
      <c r="C108" s="8">
        <v>0.69000000000000006</v>
      </c>
    </row>
    <row r="109" spans="1:3" x14ac:dyDescent="0.2">
      <c r="A109" s="6" t="s">
        <v>92</v>
      </c>
      <c r="B109" s="7">
        <v>0.59000000000000008</v>
      </c>
      <c r="C109" s="8">
        <v>0.69000000000000006</v>
      </c>
    </row>
    <row r="110" spans="1:3" x14ac:dyDescent="0.2">
      <c r="A110" s="6" t="s">
        <v>93</v>
      </c>
      <c r="B110" s="7">
        <v>0.59000000000000008</v>
      </c>
      <c r="C110" s="8">
        <v>0.69000000000000006</v>
      </c>
    </row>
    <row r="111" spans="1:3" x14ac:dyDescent="0.2">
      <c r="A111" s="6" t="s">
        <v>94</v>
      </c>
      <c r="B111" s="7">
        <v>0.71</v>
      </c>
      <c r="C111" s="8">
        <v>0.80999999999999994</v>
      </c>
    </row>
    <row r="112" spans="1:3" x14ac:dyDescent="0.2">
      <c r="A112" s="6" t="s">
        <v>95</v>
      </c>
      <c r="B112" s="7">
        <v>0.71</v>
      </c>
      <c r="C112" s="8">
        <v>0.80999999999999994</v>
      </c>
    </row>
    <row r="113" spans="1:3" x14ac:dyDescent="0.2">
      <c r="A113" s="6" t="s">
        <v>96</v>
      </c>
      <c r="B113" s="7">
        <v>0.68</v>
      </c>
      <c r="C113" s="8">
        <v>0.78</v>
      </c>
    </row>
    <row r="114" spans="1:3" x14ac:dyDescent="0.2">
      <c r="A114" s="6" t="s">
        <v>97</v>
      </c>
      <c r="B114" s="7">
        <v>0.68</v>
      </c>
      <c r="C114" s="8">
        <v>0.78</v>
      </c>
    </row>
    <row r="115" spans="1:3" x14ac:dyDescent="0.2">
      <c r="A115" s="6" t="s">
        <v>98</v>
      </c>
      <c r="B115" s="7">
        <v>0.71</v>
      </c>
      <c r="C115" s="8">
        <v>0.80999999999999994</v>
      </c>
    </row>
    <row r="116" spans="1:3" x14ac:dyDescent="0.2">
      <c r="A116" s="6" t="s">
        <v>99</v>
      </c>
      <c r="B116" s="7">
        <v>0.71</v>
      </c>
      <c r="C116" s="8">
        <v>0.80999999999999994</v>
      </c>
    </row>
    <row r="117" spans="1:3" x14ac:dyDescent="0.2">
      <c r="A117" s="6" t="s">
        <v>100</v>
      </c>
      <c r="B117" s="7">
        <v>0.71</v>
      </c>
      <c r="C117" s="8">
        <v>0.80999999999999994</v>
      </c>
    </row>
    <row r="118" spans="1:3" x14ac:dyDescent="0.2">
      <c r="A118" s="6" t="s">
        <v>101</v>
      </c>
      <c r="B118" s="7">
        <v>0.71</v>
      </c>
      <c r="C118" s="8">
        <v>0.80999999999999994</v>
      </c>
    </row>
    <row r="119" spans="1:3" x14ac:dyDescent="0.2">
      <c r="A119" s="6" t="s">
        <v>102</v>
      </c>
      <c r="B119" s="7">
        <v>0.62</v>
      </c>
      <c r="C119" s="8">
        <v>0.72</v>
      </c>
    </row>
    <row r="120" spans="1:3" x14ac:dyDescent="0.2">
      <c r="A120" s="6" t="s">
        <v>103</v>
      </c>
      <c r="B120" s="7">
        <v>0.62</v>
      </c>
      <c r="C120" s="8">
        <v>0.72</v>
      </c>
    </row>
    <row r="121" spans="1:3" x14ac:dyDescent="0.2">
      <c r="A121" s="6" t="s">
        <v>104</v>
      </c>
      <c r="B121" s="7">
        <v>0.62</v>
      </c>
      <c r="C121" s="8">
        <v>0.72</v>
      </c>
    </row>
    <row r="122" spans="1:3" x14ac:dyDescent="0.2">
      <c r="A122" s="6" t="s">
        <v>105</v>
      </c>
      <c r="B122" s="7">
        <v>0.62</v>
      </c>
      <c r="C122" s="8">
        <v>0.72</v>
      </c>
    </row>
    <row r="123" spans="1:3" x14ac:dyDescent="0.2">
      <c r="A123" s="6" t="s">
        <v>106</v>
      </c>
      <c r="B123" s="7">
        <v>0.52</v>
      </c>
      <c r="C123" s="8">
        <v>0.62</v>
      </c>
    </row>
    <row r="124" spans="1:3" x14ac:dyDescent="0.2">
      <c r="A124" s="6" t="s">
        <v>107</v>
      </c>
      <c r="B124" s="7">
        <v>0.52</v>
      </c>
      <c r="C124" s="8">
        <v>0.62</v>
      </c>
    </row>
    <row r="125" spans="1:3" x14ac:dyDescent="0.2">
      <c r="A125" s="46" t="s">
        <v>108</v>
      </c>
      <c r="B125" s="47">
        <v>0.62</v>
      </c>
      <c r="C125" s="45">
        <v>0.72</v>
      </c>
    </row>
    <row r="126" spans="1:3" x14ac:dyDescent="0.2">
      <c r="A126" s="43" t="s">
        <v>109</v>
      </c>
      <c r="B126" s="44">
        <v>0.62</v>
      </c>
      <c r="C126" s="45">
        <v>0.72</v>
      </c>
    </row>
    <row r="127" spans="1:3" x14ac:dyDescent="0.2">
      <c r="A127" s="6" t="s">
        <v>110</v>
      </c>
      <c r="B127" s="7">
        <v>0.82</v>
      </c>
      <c r="C127" s="8">
        <v>0.91999999999999993</v>
      </c>
    </row>
    <row r="128" spans="1:3" x14ac:dyDescent="0.2">
      <c r="A128" s="6" t="s">
        <v>111</v>
      </c>
      <c r="B128" s="7">
        <v>0.52</v>
      </c>
      <c r="C128" s="8">
        <v>0.62</v>
      </c>
    </row>
    <row r="129" spans="1:3" x14ac:dyDescent="0.2">
      <c r="A129" s="6" t="s">
        <v>112</v>
      </c>
      <c r="B129" s="7">
        <v>0.52</v>
      </c>
      <c r="C129" s="8">
        <v>0.62</v>
      </c>
    </row>
    <row r="130" spans="1:3" x14ac:dyDescent="0.2">
      <c r="A130" s="46" t="s">
        <v>113</v>
      </c>
      <c r="B130" s="47">
        <v>0.62</v>
      </c>
      <c r="C130" s="45">
        <v>0.72</v>
      </c>
    </row>
    <row r="131" spans="1:3" x14ac:dyDescent="0.2">
      <c r="A131" s="43" t="s">
        <v>114</v>
      </c>
      <c r="B131" s="44">
        <v>0.62</v>
      </c>
      <c r="C131" s="45">
        <v>0.72</v>
      </c>
    </row>
    <row r="132" spans="1:3" x14ac:dyDescent="0.2">
      <c r="A132" s="6" t="s">
        <v>115</v>
      </c>
      <c r="B132" s="7">
        <v>0.51</v>
      </c>
      <c r="C132" s="8">
        <v>0.61</v>
      </c>
    </row>
    <row r="133" spans="1:3" x14ac:dyDescent="0.2">
      <c r="A133" s="6" t="s">
        <v>116</v>
      </c>
      <c r="B133" s="7">
        <v>0.51</v>
      </c>
      <c r="C133" s="8">
        <v>0.61</v>
      </c>
    </row>
    <row r="134" spans="1:3" x14ac:dyDescent="0.2">
      <c r="A134" s="6" t="s">
        <v>117</v>
      </c>
      <c r="B134" s="7">
        <v>0.38</v>
      </c>
      <c r="C134" s="8">
        <v>0.48</v>
      </c>
    </row>
    <row r="135" spans="1:3" x14ac:dyDescent="0.2">
      <c r="A135" s="6" t="s">
        <v>118</v>
      </c>
      <c r="B135" s="7">
        <v>0.52</v>
      </c>
      <c r="C135" s="8">
        <v>0.62</v>
      </c>
    </row>
    <row r="136" spans="1:3" x14ac:dyDescent="0.2">
      <c r="A136" s="6" t="s">
        <v>119</v>
      </c>
      <c r="B136" s="7">
        <v>0.52</v>
      </c>
      <c r="C136" s="8">
        <v>0.62</v>
      </c>
    </row>
    <row r="137" spans="1:3" x14ac:dyDescent="0.2">
      <c r="A137" s="6" t="s">
        <v>120</v>
      </c>
      <c r="B137" s="7">
        <v>0.38</v>
      </c>
      <c r="C137" s="8">
        <v>0.48</v>
      </c>
    </row>
    <row r="138" spans="1:3" x14ac:dyDescent="0.2">
      <c r="A138" s="6" t="s">
        <v>121</v>
      </c>
      <c r="B138" s="7">
        <v>0.52</v>
      </c>
      <c r="C138" s="8">
        <v>0.62</v>
      </c>
    </row>
    <row r="139" spans="1:3" x14ac:dyDescent="0.2">
      <c r="A139" s="43" t="s">
        <v>122</v>
      </c>
      <c r="B139" s="44">
        <v>0.52</v>
      </c>
      <c r="C139" s="45">
        <v>0.62</v>
      </c>
    </row>
    <row r="140" spans="1:3" x14ac:dyDescent="0.2">
      <c r="A140" s="6" t="s">
        <v>123</v>
      </c>
      <c r="B140" s="7">
        <v>0.52</v>
      </c>
      <c r="C140" s="8">
        <v>0.62</v>
      </c>
    </row>
    <row r="141" spans="1:3" x14ac:dyDescent="0.2">
      <c r="A141" s="43" t="s">
        <v>124</v>
      </c>
      <c r="B141" s="44">
        <v>0.52</v>
      </c>
      <c r="C141" s="45">
        <v>0.62</v>
      </c>
    </row>
    <row r="142" spans="1:3" x14ac:dyDescent="0.2">
      <c r="A142" s="6" t="s">
        <v>125</v>
      </c>
      <c r="B142" s="7">
        <v>0.49000000000000005</v>
      </c>
      <c r="C142" s="8">
        <v>0.59000000000000008</v>
      </c>
    </row>
    <row r="143" spans="1:3" x14ac:dyDescent="0.2">
      <c r="A143" s="43" t="s">
        <v>126</v>
      </c>
      <c r="B143" s="44">
        <v>0.49000000000000005</v>
      </c>
      <c r="C143" s="45">
        <v>0.59000000000000008</v>
      </c>
    </row>
    <row r="144" spans="1:3" x14ac:dyDescent="0.2">
      <c r="A144" s="46" t="s">
        <v>127</v>
      </c>
      <c r="B144" s="47">
        <v>0.59000000000000008</v>
      </c>
      <c r="C144" s="45">
        <v>0.69000000000000006</v>
      </c>
    </row>
    <row r="145" spans="1:3" x14ac:dyDescent="0.2">
      <c r="A145" s="43" t="s">
        <v>128</v>
      </c>
      <c r="B145" s="44">
        <v>0.59000000000000008</v>
      </c>
      <c r="C145" s="45">
        <v>0.69000000000000006</v>
      </c>
    </row>
    <row r="146" spans="1:3" x14ac:dyDescent="0.2">
      <c r="A146" s="6" t="s">
        <v>129</v>
      </c>
      <c r="B146" s="7">
        <v>0.59000000000000008</v>
      </c>
      <c r="C146" s="8">
        <v>0.69000000000000006</v>
      </c>
    </row>
    <row r="147" spans="1:3" x14ac:dyDescent="0.2">
      <c r="A147" s="43" t="s">
        <v>130</v>
      </c>
      <c r="B147" s="44">
        <v>0.59000000000000008</v>
      </c>
      <c r="C147" s="45">
        <v>0.69000000000000006</v>
      </c>
    </row>
    <row r="148" spans="1:3" x14ac:dyDescent="0.2">
      <c r="A148" s="6" t="s">
        <v>131</v>
      </c>
      <c r="B148" s="15">
        <v>0.68</v>
      </c>
      <c r="C148" s="8">
        <v>0.78</v>
      </c>
    </row>
    <row r="149" spans="1:3" x14ac:dyDescent="0.2">
      <c r="A149" s="6" t="s">
        <v>132</v>
      </c>
      <c r="B149" s="7">
        <v>0.68</v>
      </c>
      <c r="C149" s="8">
        <v>0.78</v>
      </c>
    </row>
    <row r="150" spans="1:3" x14ac:dyDescent="0.2">
      <c r="A150" s="6" t="s">
        <v>133</v>
      </c>
      <c r="B150" s="7">
        <v>0.49000000000000005</v>
      </c>
      <c r="C150" s="8">
        <v>0.59000000000000008</v>
      </c>
    </row>
    <row r="151" spans="1:3" x14ac:dyDescent="0.2">
      <c r="A151" s="6" t="s">
        <v>134</v>
      </c>
      <c r="B151" s="7">
        <v>0.62</v>
      </c>
      <c r="C151" s="8">
        <v>0.72</v>
      </c>
    </row>
    <row r="152" spans="1:3" x14ac:dyDescent="0.2">
      <c r="A152" s="6" t="s">
        <v>135</v>
      </c>
      <c r="B152" s="7">
        <v>0.74</v>
      </c>
      <c r="C152" s="8">
        <v>0.84</v>
      </c>
    </row>
    <row r="153" spans="1:3" x14ac:dyDescent="0.2">
      <c r="A153" s="6" t="s">
        <v>136</v>
      </c>
      <c r="B153" s="7">
        <v>0.74</v>
      </c>
      <c r="C153" s="8">
        <v>0.84</v>
      </c>
    </row>
    <row r="154" spans="1:3" x14ac:dyDescent="0.2">
      <c r="A154" s="6" t="s">
        <v>137</v>
      </c>
      <c r="B154" s="7">
        <v>0.49000000000000005</v>
      </c>
      <c r="C154" s="8">
        <v>0.59000000000000008</v>
      </c>
    </row>
    <row r="155" spans="1:3" x14ac:dyDescent="0.2">
      <c r="A155" s="6" t="s">
        <v>138</v>
      </c>
      <c r="B155" s="7">
        <v>0.62</v>
      </c>
      <c r="C155" s="8">
        <v>0.72</v>
      </c>
    </row>
    <row r="156" spans="1:3" x14ac:dyDescent="0.2">
      <c r="A156" s="43" t="s">
        <v>139</v>
      </c>
      <c r="B156" s="44">
        <v>0.62</v>
      </c>
      <c r="C156" s="45">
        <v>0.72</v>
      </c>
    </row>
    <row r="157" spans="1:3" x14ac:dyDescent="0.2">
      <c r="A157" s="6" t="s">
        <v>140</v>
      </c>
      <c r="B157" s="7">
        <v>0.59000000000000008</v>
      </c>
      <c r="C157" s="8">
        <v>0.69000000000000006</v>
      </c>
    </row>
    <row r="158" spans="1:3" x14ac:dyDescent="0.2">
      <c r="A158" s="6" t="s">
        <v>141</v>
      </c>
      <c r="B158" s="7">
        <v>0.59000000000000008</v>
      </c>
      <c r="C158" s="8">
        <v>0.69000000000000006</v>
      </c>
    </row>
    <row r="159" spans="1:3" x14ac:dyDescent="0.2">
      <c r="A159" s="6" t="s">
        <v>142</v>
      </c>
      <c r="B159" s="7">
        <v>0.59000000000000008</v>
      </c>
      <c r="C159" s="8">
        <v>0.69000000000000006</v>
      </c>
    </row>
    <row r="160" spans="1:3" x14ac:dyDescent="0.2">
      <c r="A160" s="6" t="s">
        <v>143</v>
      </c>
      <c r="B160" s="7">
        <v>0.59000000000000008</v>
      </c>
      <c r="C160" s="8">
        <v>0.69000000000000006</v>
      </c>
    </row>
    <row r="161" spans="1:7" x14ac:dyDescent="0.2">
      <c r="A161" s="46" t="s">
        <v>144</v>
      </c>
      <c r="B161" s="47">
        <v>0.68</v>
      </c>
      <c r="C161" s="45">
        <v>0.78</v>
      </c>
    </row>
    <row r="162" spans="1:7" x14ac:dyDescent="0.2">
      <c r="A162" s="43" t="s">
        <v>145</v>
      </c>
      <c r="B162" s="44">
        <v>0.68</v>
      </c>
      <c r="C162" s="45">
        <v>0.78</v>
      </c>
    </row>
    <row r="163" spans="1:7" x14ac:dyDescent="0.2">
      <c r="A163" s="6" t="s">
        <v>146</v>
      </c>
      <c r="B163" s="7">
        <v>0.68</v>
      </c>
      <c r="C163" s="8">
        <v>0.78</v>
      </c>
    </row>
    <row r="164" spans="1:7" x14ac:dyDescent="0.2">
      <c r="A164" s="43" t="s">
        <v>147</v>
      </c>
      <c r="B164" s="44">
        <v>0.68</v>
      </c>
      <c r="C164" s="45">
        <v>0.78</v>
      </c>
    </row>
    <row r="165" spans="1:7" x14ac:dyDescent="0.2">
      <c r="A165" s="6" t="s">
        <v>148</v>
      </c>
      <c r="B165" s="7">
        <v>0.76</v>
      </c>
      <c r="C165" s="8">
        <v>0.86</v>
      </c>
    </row>
    <row r="166" spans="1:7" x14ac:dyDescent="0.2">
      <c r="A166" s="6" t="s">
        <v>149</v>
      </c>
      <c r="B166" s="7">
        <v>0.76</v>
      </c>
      <c r="C166" s="8">
        <v>0.86</v>
      </c>
    </row>
    <row r="167" spans="1:7" x14ac:dyDescent="0.2">
      <c r="A167" s="43" t="s">
        <v>150</v>
      </c>
      <c r="B167" s="44">
        <v>0.76</v>
      </c>
      <c r="C167" s="45">
        <v>0.86</v>
      </c>
    </row>
    <row r="168" spans="1:7" x14ac:dyDescent="0.2">
      <c r="A168" s="6" t="s">
        <v>151</v>
      </c>
      <c r="B168" s="7">
        <v>0.41000000000000003</v>
      </c>
      <c r="C168" s="8">
        <v>0.51</v>
      </c>
    </row>
    <row r="169" spans="1:7" x14ac:dyDescent="0.2">
      <c r="A169" s="6" t="s">
        <v>152</v>
      </c>
      <c r="B169" s="7">
        <v>0.41000000000000003</v>
      </c>
      <c r="C169" s="8">
        <v>0.51</v>
      </c>
    </row>
    <row r="170" spans="1:7" x14ac:dyDescent="0.2">
      <c r="A170" s="6" t="s">
        <v>153</v>
      </c>
      <c r="B170" s="7">
        <v>0.55000000000000004</v>
      </c>
      <c r="C170" s="8">
        <v>0.65</v>
      </c>
    </row>
    <row r="171" spans="1:7" x14ac:dyDescent="0.2">
      <c r="A171" s="6" t="s">
        <v>154</v>
      </c>
      <c r="B171" s="7">
        <v>0.55000000000000004</v>
      </c>
      <c r="C171" s="8">
        <v>0.65</v>
      </c>
    </row>
    <row r="172" spans="1:7" x14ac:dyDescent="0.2">
      <c r="A172" s="6" t="s">
        <v>155</v>
      </c>
      <c r="B172" s="7">
        <v>0.68</v>
      </c>
      <c r="C172" s="8">
        <v>0.78</v>
      </c>
    </row>
    <row r="173" spans="1:7" x14ac:dyDescent="0.2">
      <c r="A173" s="6" t="s">
        <v>156</v>
      </c>
      <c r="B173" s="7">
        <v>0.68</v>
      </c>
      <c r="C173" s="8">
        <v>0.78</v>
      </c>
      <c r="G173" s="7" t="s">
        <v>263</v>
      </c>
    </row>
    <row r="174" spans="1:7" x14ac:dyDescent="0.2">
      <c r="A174" s="6" t="s">
        <v>157</v>
      </c>
      <c r="B174" s="7">
        <v>0.52</v>
      </c>
      <c r="C174" s="8">
        <v>0.62</v>
      </c>
    </row>
    <row r="175" spans="1:7" x14ac:dyDescent="0.2">
      <c r="A175" s="43" t="s">
        <v>158</v>
      </c>
      <c r="B175" s="44">
        <v>0.52</v>
      </c>
      <c r="C175" s="48">
        <v>0.62</v>
      </c>
    </row>
    <row r="176" spans="1:7" x14ac:dyDescent="0.2">
      <c r="A176" s="6" t="s">
        <v>159</v>
      </c>
      <c r="B176" s="7">
        <v>0.65</v>
      </c>
      <c r="C176" s="8">
        <v>0.75</v>
      </c>
    </row>
    <row r="177" spans="1:3" x14ac:dyDescent="0.2">
      <c r="A177" s="43" t="s">
        <v>160</v>
      </c>
      <c r="B177" s="44">
        <v>0.65</v>
      </c>
      <c r="C177" s="45">
        <v>0.75</v>
      </c>
    </row>
    <row r="178" spans="1:3" x14ac:dyDescent="0.2">
      <c r="A178" s="6" t="s">
        <v>161</v>
      </c>
      <c r="B178" s="7">
        <v>0.62</v>
      </c>
      <c r="C178" s="8">
        <v>0.72</v>
      </c>
    </row>
    <row r="179" spans="1:3" x14ac:dyDescent="0.2">
      <c r="A179" s="6" t="s">
        <v>162</v>
      </c>
      <c r="B179" s="7">
        <v>0.62</v>
      </c>
      <c r="C179" s="8">
        <v>0.72</v>
      </c>
    </row>
    <row r="180" spans="1:3" x14ac:dyDescent="0.2">
      <c r="A180" s="6" t="s">
        <v>163</v>
      </c>
      <c r="B180" s="7">
        <v>0.71</v>
      </c>
      <c r="C180" s="8">
        <v>0.80999999999999994</v>
      </c>
    </row>
    <row r="181" spans="1:3" x14ac:dyDescent="0.2">
      <c r="A181" s="6" t="s">
        <v>164</v>
      </c>
      <c r="B181" s="7">
        <v>0.71</v>
      </c>
      <c r="C181" s="8">
        <v>0.80999999999999994</v>
      </c>
    </row>
    <row r="182" spans="1:3" x14ac:dyDescent="0.2">
      <c r="A182" s="6" t="s">
        <v>165</v>
      </c>
      <c r="B182" s="7">
        <v>0.71</v>
      </c>
      <c r="C182" s="8">
        <v>0.80999999999999994</v>
      </c>
    </row>
    <row r="183" spans="1:3" x14ac:dyDescent="0.2">
      <c r="A183" s="6" t="s">
        <v>166</v>
      </c>
      <c r="B183" s="7">
        <v>0.71</v>
      </c>
      <c r="C183" s="8">
        <v>0.80999999999999994</v>
      </c>
    </row>
    <row r="184" spans="1:3" x14ac:dyDescent="0.2">
      <c r="A184" s="6" t="s">
        <v>167</v>
      </c>
      <c r="B184" s="7">
        <v>0.74</v>
      </c>
      <c r="C184" s="8">
        <v>0.84</v>
      </c>
    </row>
    <row r="185" spans="1:3" x14ac:dyDescent="0.2">
      <c r="A185" s="6" t="s">
        <v>168</v>
      </c>
      <c r="B185" s="7">
        <v>0.41000000000000003</v>
      </c>
      <c r="C185" s="8">
        <v>0.51</v>
      </c>
    </row>
    <row r="186" spans="1:3" x14ac:dyDescent="0.2">
      <c r="A186" s="6" t="s">
        <v>169</v>
      </c>
      <c r="B186" s="7">
        <v>0.41000000000000003</v>
      </c>
      <c r="C186" s="8">
        <v>0.51</v>
      </c>
    </row>
    <row r="187" spans="1:3" x14ac:dyDescent="0.2">
      <c r="A187" s="6" t="s">
        <v>170</v>
      </c>
      <c r="B187" s="7">
        <v>0.55000000000000004</v>
      </c>
      <c r="C187" s="8">
        <v>0.65</v>
      </c>
    </row>
    <row r="188" spans="1:3" x14ac:dyDescent="0.2">
      <c r="A188" s="6" t="s">
        <v>171</v>
      </c>
      <c r="B188" s="7">
        <v>0.55000000000000004</v>
      </c>
      <c r="C188" s="8">
        <v>0.65</v>
      </c>
    </row>
    <row r="189" spans="1:3" x14ac:dyDescent="0.2">
      <c r="A189" s="6" t="s">
        <v>172</v>
      </c>
      <c r="B189" s="7">
        <v>0.68</v>
      </c>
      <c r="C189" s="8">
        <v>0.78</v>
      </c>
    </row>
    <row r="190" spans="1:3" x14ac:dyDescent="0.2">
      <c r="A190" s="43" t="s">
        <v>173</v>
      </c>
      <c r="B190" s="44">
        <v>0.68</v>
      </c>
      <c r="C190" s="45">
        <v>0.78</v>
      </c>
    </row>
    <row r="191" spans="1:3" x14ac:dyDescent="0.2">
      <c r="A191" s="6" t="s">
        <v>174</v>
      </c>
      <c r="B191" s="7">
        <v>0.52</v>
      </c>
      <c r="C191" s="8">
        <v>0.62</v>
      </c>
    </row>
    <row r="192" spans="1:3" x14ac:dyDescent="0.2">
      <c r="A192" s="46" t="s">
        <v>174</v>
      </c>
      <c r="B192" s="47">
        <v>0.52</v>
      </c>
      <c r="C192" s="45">
        <v>0.62</v>
      </c>
    </row>
    <row r="193" spans="1:3" x14ac:dyDescent="0.2">
      <c r="A193" s="6" t="s">
        <v>175</v>
      </c>
      <c r="B193" s="7">
        <v>0.52</v>
      </c>
      <c r="C193" s="8">
        <v>0.62</v>
      </c>
    </row>
    <row r="194" spans="1:3" x14ac:dyDescent="0.2">
      <c r="A194" s="43" t="s">
        <v>175</v>
      </c>
      <c r="B194" s="44">
        <v>0.52</v>
      </c>
      <c r="C194" s="48">
        <v>0.62</v>
      </c>
    </row>
    <row r="195" spans="1:3" x14ac:dyDescent="0.2">
      <c r="A195" s="6" t="s">
        <v>176</v>
      </c>
      <c r="B195" s="7">
        <v>0.52</v>
      </c>
      <c r="C195" s="8">
        <v>0.62</v>
      </c>
    </row>
    <row r="196" spans="1:3" x14ac:dyDescent="0.2">
      <c r="A196" s="6" t="s">
        <v>177</v>
      </c>
      <c r="B196" s="7">
        <v>0.52</v>
      </c>
      <c r="C196" s="8">
        <v>0.62</v>
      </c>
    </row>
    <row r="197" spans="1:3" x14ac:dyDescent="0.2">
      <c r="A197" s="6" t="s">
        <v>178</v>
      </c>
      <c r="B197" s="7">
        <v>0.62</v>
      </c>
      <c r="C197" s="8">
        <v>0.72</v>
      </c>
    </row>
    <row r="198" spans="1:3" x14ac:dyDescent="0.2">
      <c r="A198" s="6" t="s">
        <v>179</v>
      </c>
      <c r="B198" s="7">
        <v>0.62</v>
      </c>
      <c r="C198" s="8">
        <v>0.72</v>
      </c>
    </row>
    <row r="199" spans="1:3" x14ac:dyDescent="0.2">
      <c r="A199" s="6" t="s">
        <v>180</v>
      </c>
      <c r="B199" s="7">
        <v>0.71</v>
      </c>
      <c r="C199" s="8">
        <v>0.80999999999999994</v>
      </c>
    </row>
    <row r="200" spans="1:3" x14ac:dyDescent="0.2">
      <c r="A200" s="6" t="s">
        <v>181</v>
      </c>
      <c r="B200" s="7">
        <v>0.71</v>
      </c>
      <c r="C200" s="8">
        <v>0.80999999999999994</v>
      </c>
    </row>
    <row r="201" spans="1:3" x14ac:dyDescent="0.2">
      <c r="A201" s="6" t="s">
        <v>182</v>
      </c>
      <c r="B201" s="7">
        <v>0.65</v>
      </c>
      <c r="C201" s="8">
        <v>0.75</v>
      </c>
    </row>
    <row r="202" spans="1:3" x14ac:dyDescent="0.2">
      <c r="A202" s="6" t="s">
        <v>183</v>
      </c>
      <c r="B202" s="7">
        <v>0.65</v>
      </c>
      <c r="C202" s="8">
        <v>0.75</v>
      </c>
    </row>
    <row r="203" spans="1:3" x14ac:dyDescent="0.2">
      <c r="A203" s="6" t="s">
        <v>184</v>
      </c>
      <c r="B203" s="7">
        <v>0.4</v>
      </c>
      <c r="C203" s="8">
        <v>0.5</v>
      </c>
    </row>
    <row r="204" spans="1:3" ht="12.5" thickBot="1" x14ac:dyDescent="0.25">
      <c r="A204" s="17" t="s">
        <v>185</v>
      </c>
      <c r="B204" s="18">
        <v>0.4</v>
      </c>
      <c r="C204" s="19">
        <v>0.5</v>
      </c>
    </row>
    <row r="205" spans="1:3" ht="13" thickTop="1" thickBot="1" x14ac:dyDescent="0.25">
      <c r="A205" s="17" t="s">
        <v>231</v>
      </c>
      <c r="B205" s="7">
        <v>0.51</v>
      </c>
      <c r="C205" s="8">
        <v>0.61</v>
      </c>
    </row>
    <row r="206" spans="1:3" ht="12.5" thickTop="1" x14ac:dyDescent="0.2">
      <c r="A206" s="20" t="s">
        <v>264</v>
      </c>
      <c r="B206" s="7">
        <v>1</v>
      </c>
      <c r="C206" s="7">
        <v>1</v>
      </c>
    </row>
    <row r="207" spans="1:3" x14ac:dyDescent="0.2">
      <c r="A207" s="20" t="s">
        <v>265</v>
      </c>
      <c r="B207" s="7">
        <v>1</v>
      </c>
      <c r="C207" s="7">
        <v>1</v>
      </c>
    </row>
    <row r="208" spans="1:3" x14ac:dyDescent="0.2">
      <c r="A208" s="49" t="s">
        <v>266</v>
      </c>
      <c r="B208" s="7">
        <v>1</v>
      </c>
      <c r="C208" s="7">
        <v>1</v>
      </c>
    </row>
    <row r="210" spans="1:5" ht="12.5" x14ac:dyDescent="0.25">
      <c r="A210" s="33" t="s">
        <v>27</v>
      </c>
      <c r="B210" s="39">
        <v>0.68</v>
      </c>
      <c r="C210" s="32">
        <v>0.78</v>
      </c>
      <c r="D210" s="28" t="s">
        <v>232</v>
      </c>
      <c r="E210" s="50"/>
    </row>
  </sheetData>
  <phoneticPr fontId="1"/>
  <conditionalFormatting sqref="B3 B210 B46:B47 B89 B24 B33 B4:C6 B18 B12:B13 B28:B30">
    <cfRule type="expression" dxfId="16" priority="14" stopIfTrue="1">
      <formula>B3&lt;&gt;D3</formula>
    </cfRule>
  </conditionalFormatting>
  <conditionalFormatting sqref="C3">
    <cfRule type="expression" dxfId="15" priority="13" stopIfTrue="1">
      <formula>C3&lt;&gt;E3</formula>
    </cfRule>
  </conditionalFormatting>
  <conditionalFormatting sqref="B1">
    <cfRule type="expression" dxfId="14" priority="12" stopIfTrue="1">
      <formula>B1&lt;&gt;D1</formula>
    </cfRule>
  </conditionalFormatting>
  <conditionalFormatting sqref="C1">
    <cfRule type="expression" dxfId="13" priority="11" stopIfTrue="1">
      <formula>C1&lt;&gt;E1</formula>
    </cfRule>
  </conditionalFormatting>
  <conditionalFormatting sqref="C18">
    <cfRule type="expression" dxfId="12" priority="10" stopIfTrue="1">
      <formula>C18&lt;&gt;E21</formula>
    </cfRule>
  </conditionalFormatting>
  <conditionalFormatting sqref="B19">
    <cfRule type="expression" dxfId="11" priority="9" stopIfTrue="1">
      <formula>B19&lt;&gt;D19</formula>
    </cfRule>
  </conditionalFormatting>
  <conditionalFormatting sqref="C19 C24">
    <cfRule type="expression" dxfId="10" priority="8" stopIfTrue="1">
      <formula>C19&lt;&gt;E23</formula>
    </cfRule>
  </conditionalFormatting>
  <conditionalFormatting sqref="B25">
    <cfRule type="expression" dxfId="9" priority="7" stopIfTrue="1">
      <formula>B25&lt;&gt;D25</formula>
    </cfRule>
  </conditionalFormatting>
  <conditionalFormatting sqref="C89">
    <cfRule type="expression" dxfId="8" priority="6" stopIfTrue="1">
      <formula>C89&lt;&gt;E93</formula>
    </cfRule>
  </conditionalFormatting>
  <conditionalFormatting sqref="C18 C12:C13">
    <cfRule type="expression" dxfId="7" priority="5" stopIfTrue="1">
      <formula>C12&lt;&gt;E14</formula>
    </cfRule>
  </conditionalFormatting>
  <conditionalFormatting sqref="C210">
    <cfRule type="expression" dxfId="6" priority="19" stopIfTrue="1">
      <formula>C210&lt;&gt;E46</formula>
    </cfRule>
  </conditionalFormatting>
  <conditionalFormatting sqref="B31:B32">
    <cfRule type="expression" dxfId="5" priority="2" stopIfTrue="1">
      <formula>B31&lt;&gt;D31</formula>
    </cfRule>
  </conditionalFormatting>
  <conditionalFormatting sqref="C31:C32">
    <cfRule type="expression" dxfId="4" priority="1" stopIfTrue="1">
      <formula>C31&lt;&gt;E211</formula>
    </cfRule>
  </conditionalFormatting>
  <conditionalFormatting sqref="C47 C18">
    <cfRule type="expression" dxfId="3" priority="20" stopIfTrue="1">
      <formula>C18&lt;&gt;E24</formula>
    </cfRule>
  </conditionalFormatting>
  <conditionalFormatting sqref="C33 C46 C25">
    <cfRule type="expression" dxfId="2" priority="21" stopIfTrue="1">
      <formula>C25&lt;&gt;E30</formula>
    </cfRule>
  </conditionalFormatting>
  <conditionalFormatting sqref="C28:C32">
    <cfRule type="expression" dxfId="1" priority="22" stopIfTrue="1">
      <formula>C28&lt;&gt;E35</formula>
    </cfRule>
  </conditionalFormatting>
  <conditionalFormatting sqref="C12">
    <cfRule type="expression" dxfId="0" priority="23" stopIfTrue="1">
      <formula>C12&lt;&gt;E11</formula>
    </cfRule>
  </conditionalFormatting>
  <dataValidations count="1">
    <dataValidation allowBlank="1" showInputMessage="1" showErrorMessage="1" prompt="エアリアル競技の場合のみ記入してください。" sqref="F210 F1:F57" xr:uid="{6B7AA231-70A2-4CEE-8316-7253425CA435}"/>
  </dataValidations>
  <pageMargins left="0.75" right="0.75" top="0.53958333333333297" bottom="0.469444444444444" header="0.51180555555555596" footer="0.51180555555555596"/>
  <pageSetup paperSize="9" scale="87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Sheet2</vt:lpstr>
      <vt:lpstr>ﾓｰｸﾞﾙ難度</vt:lpstr>
      <vt:lpstr>ﾓｰｸﾞﾙ難度!Print_Area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Nagashima</dc:creator>
  <cp:lastModifiedBy>康敬 長島</cp:lastModifiedBy>
  <dcterms:created xsi:type="dcterms:W3CDTF">2023-04-04T23:39:03Z</dcterms:created>
  <dcterms:modified xsi:type="dcterms:W3CDTF">2026-09-23T05:07:51Z</dcterms:modified>
</cp:coreProperties>
</file>